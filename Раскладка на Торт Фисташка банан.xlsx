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Проекты\кулинарная книга\"/>
    </mc:Choice>
  </mc:AlternateContent>
  <xr:revisionPtr revIDLastSave="0" documentId="13_ncr:1_{739A1E1F-23CB-46F8-A04C-38C025819619}" xr6:coauthVersionLast="47" xr6:coauthVersionMax="47" xr10:uidLastSave="{00000000-0000-0000-0000-000000000000}"/>
  <bookViews>
    <workbookView xWindow="-108" yWindow="-108" windowWidth="22308" windowHeight="13176" tabRatio="781" xr2:uid="{86E34A84-9A9A-4FA1-92E9-3335995BB114}"/>
  </bookViews>
  <sheets>
    <sheet name="Технология" sheetId="2" r:id="rId1"/>
    <sheet name="Для закупа" sheetId="13" r:id="rId2"/>
    <sheet name="Расчет с_стоим" sheetId="8" r:id="rId3"/>
    <sheet name="1" sheetId="1" r:id="rId4"/>
    <sheet name="2" sheetId="5" r:id="rId5"/>
    <sheet name="3" sheetId="3" r:id="rId6"/>
    <sheet name="4" sheetId="4" r:id="rId7"/>
    <sheet name="5" sheetId="6" r:id="rId8"/>
    <sheet name="6" sheetId="7" r:id="rId9"/>
    <sheet name="С стоимость" sheetId="9" r:id="rId10"/>
  </sheets>
  <externalReferences>
    <externalReference r:id="rId11"/>
  </externalReferences>
  <definedNames>
    <definedName name="_xlnm._FilterDatabase" localSheetId="1" hidden="1">'Для закупа'!$A$1:$D$113</definedName>
    <definedName name="_xlnm._FilterDatabase" localSheetId="2" hidden="1">'Расчет с_стоим'!$A$2:$M$93</definedName>
    <definedName name="Длязакупа" localSheetId="1">'Для закупа'!$B$1:$C$94</definedName>
    <definedName name="Длязакупа">'Расчет с_стоим'!$B$2:$C$74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0" i="9" l="1"/>
  <c r="A150" i="9"/>
  <c r="B149" i="9"/>
  <c r="A149" i="9"/>
  <c r="B148" i="9"/>
  <c r="A148" i="9"/>
  <c r="B147" i="9"/>
  <c r="A147" i="9"/>
  <c r="B146" i="9"/>
  <c r="A146" i="9"/>
  <c r="B145" i="9"/>
  <c r="A145" i="9"/>
  <c r="B144" i="9"/>
  <c r="A144" i="9"/>
  <c r="B143" i="9"/>
  <c r="A143" i="9"/>
  <c r="B142" i="9"/>
  <c r="A142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B133" i="9"/>
  <c r="A133" i="9"/>
  <c r="B132" i="9"/>
  <c r="A132" i="9"/>
  <c r="B131" i="9"/>
  <c r="A131" i="9"/>
  <c r="B130" i="9"/>
  <c r="A130" i="9"/>
  <c r="B129" i="9"/>
  <c r="A129" i="9"/>
  <c r="B128" i="9"/>
  <c r="A128" i="9"/>
  <c r="B127" i="9"/>
  <c r="A127" i="9"/>
  <c r="B126" i="9"/>
  <c r="A126" i="9"/>
  <c r="B125" i="9"/>
  <c r="A125" i="9"/>
  <c r="B124" i="9"/>
  <c r="A124" i="9"/>
  <c r="B123" i="9"/>
  <c r="A123" i="9"/>
  <c r="B122" i="9"/>
  <c r="A122" i="9"/>
  <c r="B121" i="9"/>
  <c r="A121" i="9"/>
  <c r="B120" i="9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A32" i="9"/>
  <c r="B31" i="9"/>
  <c r="A31" i="9"/>
  <c r="B30" i="9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B5" i="9"/>
  <c r="A5" i="9"/>
  <c r="B4" i="9"/>
  <c r="A4" i="9"/>
  <c r="B3" i="9"/>
  <c r="A3" i="9"/>
  <c r="B2" i="9"/>
  <c r="A2" i="9"/>
  <c r="B1" i="9"/>
  <c r="A1" i="9"/>
  <c r="F2" i="1"/>
  <c r="F2" i="5"/>
  <c r="F2" i="3"/>
  <c r="F2" i="4"/>
  <c r="F2" i="6"/>
  <c r="B2" i="13"/>
  <c r="B8" i="13"/>
  <c r="C8" i="13"/>
  <c r="B3" i="13"/>
  <c r="B9" i="13"/>
  <c r="C9" i="13"/>
  <c r="B4" i="13"/>
  <c r="B10" i="13"/>
  <c r="C10" i="13"/>
  <c r="B5" i="13"/>
  <c r="B11" i="13"/>
  <c r="C11" i="13"/>
  <c r="B6" i="13"/>
  <c r="B12" i="13"/>
  <c r="C12" i="13"/>
  <c r="B7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J28" i="2"/>
  <c r="F28" i="2"/>
  <c r="B28" i="2"/>
  <c r="K28" i="2"/>
  <c r="B9" i="8"/>
  <c r="B8" i="8"/>
  <c r="B7" i="8"/>
  <c r="B6" i="8"/>
  <c r="B5" i="8"/>
  <c r="B4" i="8"/>
  <c r="J10" i="8" l="1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4" i="8" l="1"/>
  <c r="J9" i="8"/>
  <c r="J8" i="8"/>
  <c r="J7" i="8"/>
  <c r="J5" i="8"/>
  <c r="J6" i="8"/>
  <c r="W1" i="2"/>
  <c r="C4" i="13" s="1"/>
  <c r="O4" i="2"/>
  <c r="C2" i="13" s="1"/>
  <c r="R3" i="2"/>
  <c r="B8" i="2"/>
  <c r="F8" i="2"/>
  <c r="U25" i="2"/>
  <c r="Q25" i="2"/>
  <c r="M25" i="2"/>
  <c r="I25" i="2"/>
  <c r="U24" i="2"/>
  <c r="V8" i="2"/>
  <c r="Q24" i="2"/>
  <c r="R8" i="2"/>
  <c r="M24" i="2"/>
  <c r="I24" i="2"/>
  <c r="E25" i="2"/>
  <c r="E24" i="2"/>
  <c r="A25" i="2"/>
  <c r="A24" i="2"/>
  <c r="N8" i="2"/>
  <c r="J8" i="2"/>
  <c r="S4" i="2" l="1"/>
  <c r="C3" i="13" s="1"/>
  <c r="C4" i="8"/>
  <c r="C6" i="8"/>
  <c r="E6" i="8" s="1"/>
  <c r="J3" i="8"/>
  <c r="G28" i="2" s="1"/>
  <c r="W2" i="2"/>
  <c r="C5" i="13" s="1"/>
  <c r="B22" i="2"/>
  <c r="B42" i="13" s="1"/>
  <c r="F22" i="2"/>
  <c r="B56" i="13" s="1"/>
  <c r="J22" i="2"/>
  <c r="B70" i="13" s="1"/>
  <c r="N22" i="2"/>
  <c r="B84" i="13" s="1"/>
  <c r="R22" i="2"/>
  <c r="B98" i="13" s="1"/>
  <c r="V22" i="2"/>
  <c r="B112" i="13" s="1"/>
  <c r="B23" i="2"/>
  <c r="B43" i="13" s="1"/>
  <c r="F23" i="2"/>
  <c r="B57" i="13" s="1"/>
  <c r="J23" i="2"/>
  <c r="B71" i="13" s="1"/>
  <c r="N23" i="2"/>
  <c r="B85" i="13" s="1"/>
  <c r="R23" i="2"/>
  <c r="B99" i="13" s="1"/>
  <c r="V23" i="2"/>
  <c r="B113" i="13" s="1"/>
  <c r="E4" i="8" l="1"/>
  <c r="B64" i="8"/>
  <c r="B79" i="8"/>
  <c r="B23" i="8"/>
  <c r="B50" i="8"/>
  <c r="B51" i="8"/>
  <c r="B78" i="8"/>
  <c r="B22" i="8"/>
  <c r="B93" i="8"/>
  <c r="B37" i="8"/>
  <c r="C7" i="8"/>
  <c r="E7" i="8" s="1"/>
  <c r="B65" i="8"/>
  <c r="B92" i="8"/>
  <c r="B36" i="8"/>
  <c r="C5" i="8"/>
  <c r="E5" i="8" s="1"/>
  <c r="W4" i="2"/>
  <c r="C7" i="13" s="1"/>
  <c r="W3" i="2"/>
  <c r="C6" i="13" s="1"/>
  <c r="F2" i="7"/>
  <c r="C8" i="8" l="1"/>
  <c r="C9" i="8"/>
  <c r="E9" i="8" s="1"/>
  <c r="F12" i="2"/>
  <c r="B46" i="13" s="1"/>
  <c r="F11" i="2"/>
  <c r="B45" i="13" s="1"/>
  <c r="V11" i="2"/>
  <c r="B101" i="13" s="1"/>
  <c r="V12" i="2"/>
  <c r="B102" i="13" s="1"/>
  <c r="V13" i="2"/>
  <c r="B103" i="13" s="1"/>
  <c r="V14" i="2"/>
  <c r="B104" i="13" s="1"/>
  <c r="V15" i="2"/>
  <c r="B105" i="13" s="1"/>
  <c r="V16" i="2"/>
  <c r="B106" i="13" s="1"/>
  <c r="V17" i="2"/>
  <c r="B107" i="13" s="1"/>
  <c r="V18" i="2"/>
  <c r="B108" i="13" s="1"/>
  <c r="V19" i="2"/>
  <c r="B109" i="13" s="1"/>
  <c r="V20" i="2"/>
  <c r="B110" i="13" s="1"/>
  <c r="V21" i="2"/>
  <c r="B111" i="13" s="1"/>
  <c r="V10" i="2"/>
  <c r="B100" i="13" s="1"/>
  <c r="R11" i="2"/>
  <c r="B87" i="13" s="1"/>
  <c r="R12" i="2"/>
  <c r="B88" i="13" s="1"/>
  <c r="R13" i="2"/>
  <c r="B89" i="13" s="1"/>
  <c r="R14" i="2"/>
  <c r="B90" i="13" s="1"/>
  <c r="R15" i="2"/>
  <c r="B91" i="13" s="1"/>
  <c r="R16" i="2"/>
  <c r="B92" i="13" s="1"/>
  <c r="R17" i="2"/>
  <c r="B93" i="13" s="1"/>
  <c r="R18" i="2"/>
  <c r="B94" i="13" s="1"/>
  <c r="R19" i="2"/>
  <c r="B95" i="13" s="1"/>
  <c r="R20" i="2"/>
  <c r="B96" i="13" s="1"/>
  <c r="R21" i="2"/>
  <c r="B97" i="13" s="1"/>
  <c r="R10" i="2"/>
  <c r="B86" i="13" s="1"/>
  <c r="F13" i="2"/>
  <c r="B47" i="13" s="1"/>
  <c r="F14" i="2"/>
  <c r="B48" i="13" s="1"/>
  <c r="F15" i="2"/>
  <c r="B49" i="13" s="1"/>
  <c r="F16" i="2"/>
  <c r="B50" i="13" s="1"/>
  <c r="F17" i="2"/>
  <c r="B51" i="13" s="1"/>
  <c r="F18" i="2"/>
  <c r="B52" i="13" s="1"/>
  <c r="F19" i="2"/>
  <c r="B53" i="13" s="1"/>
  <c r="F20" i="2"/>
  <c r="B54" i="13" s="1"/>
  <c r="F21" i="2"/>
  <c r="B55" i="13" s="1"/>
  <c r="F10" i="2"/>
  <c r="B44" i="13" s="1"/>
  <c r="N11" i="2"/>
  <c r="B73" i="13" s="1"/>
  <c r="N12" i="2"/>
  <c r="B74" i="13" s="1"/>
  <c r="N13" i="2"/>
  <c r="B75" i="13" s="1"/>
  <c r="N14" i="2"/>
  <c r="B76" i="13" s="1"/>
  <c r="N15" i="2"/>
  <c r="B77" i="13" s="1"/>
  <c r="N16" i="2"/>
  <c r="B78" i="13" s="1"/>
  <c r="N17" i="2"/>
  <c r="B79" i="13" s="1"/>
  <c r="N18" i="2"/>
  <c r="B80" i="13" s="1"/>
  <c r="N19" i="2"/>
  <c r="B81" i="13" s="1"/>
  <c r="N20" i="2"/>
  <c r="B82" i="13" s="1"/>
  <c r="N21" i="2"/>
  <c r="B83" i="13" s="1"/>
  <c r="N10" i="2"/>
  <c r="B72" i="13" s="1"/>
  <c r="J11" i="2"/>
  <c r="B59" i="13" s="1"/>
  <c r="J12" i="2"/>
  <c r="B60" i="13" s="1"/>
  <c r="J13" i="2"/>
  <c r="B61" i="13" s="1"/>
  <c r="J14" i="2"/>
  <c r="B62" i="13" s="1"/>
  <c r="J15" i="2"/>
  <c r="B63" i="13" s="1"/>
  <c r="J16" i="2"/>
  <c r="B64" i="13" s="1"/>
  <c r="J17" i="2"/>
  <c r="B65" i="13" s="1"/>
  <c r="J18" i="2"/>
  <c r="B66" i="13" s="1"/>
  <c r="J19" i="2"/>
  <c r="B67" i="13" s="1"/>
  <c r="J20" i="2"/>
  <c r="B68" i="13" s="1"/>
  <c r="J21" i="2"/>
  <c r="B69" i="13" s="1"/>
  <c r="J10" i="2"/>
  <c r="B58" i="13" s="1"/>
  <c r="B10" i="2"/>
  <c r="B30" i="13" s="1"/>
  <c r="B11" i="2"/>
  <c r="B31" i="13" s="1"/>
  <c r="B12" i="2"/>
  <c r="B32" i="13" s="1"/>
  <c r="B13" i="2"/>
  <c r="B33" i="13" s="1"/>
  <c r="B14" i="2"/>
  <c r="B34" i="13" s="1"/>
  <c r="B15" i="2"/>
  <c r="B35" i="13" s="1"/>
  <c r="B16" i="2"/>
  <c r="B36" i="13" s="1"/>
  <c r="B17" i="2"/>
  <c r="B37" i="13" s="1"/>
  <c r="B18" i="2"/>
  <c r="B38" i="13" s="1"/>
  <c r="B19" i="2"/>
  <c r="B39" i="13" s="1"/>
  <c r="B20" i="2"/>
  <c r="B40" i="13" s="1"/>
  <c r="B21" i="2"/>
  <c r="B41" i="13" s="1"/>
  <c r="C9" i="2"/>
  <c r="B9" i="2"/>
  <c r="E8" i="8" l="1"/>
  <c r="P3" i="8"/>
  <c r="B10" i="8"/>
  <c r="B48" i="8"/>
  <c r="B44" i="8"/>
  <c r="B27" i="8"/>
  <c r="B82" i="8"/>
  <c r="B43" i="8"/>
  <c r="B34" i="8"/>
  <c r="B18" i="8"/>
  <c r="B14" i="8"/>
  <c r="B40" i="8"/>
  <c r="B62" i="8"/>
  <c r="B58" i="8"/>
  <c r="B54" i="8"/>
  <c r="B35" i="8"/>
  <c r="B31" i="8"/>
  <c r="B76" i="8"/>
  <c r="B72" i="8"/>
  <c r="B68" i="8"/>
  <c r="B90" i="8"/>
  <c r="B86" i="8"/>
  <c r="B21" i="8"/>
  <c r="B17" i="8"/>
  <c r="B13" i="8"/>
  <c r="B47" i="8"/>
  <c r="B39" i="8"/>
  <c r="B61" i="8"/>
  <c r="B57" i="8"/>
  <c r="B53" i="8"/>
  <c r="B30" i="8"/>
  <c r="B75" i="8"/>
  <c r="B71" i="8"/>
  <c r="B67" i="8"/>
  <c r="B89" i="8"/>
  <c r="B85" i="8"/>
  <c r="B81" i="8"/>
  <c r="B20" i="8"/>
  <c r="B16" i="8"/>
  <c r="B12" i="8"/>
  <c r="B38" i="8"/>
  <c r="B46" i="8"/>
  <c r="B42" i="8"/>
  <c r="B52" i="8"/>
  <c r="B60" i="8"/>
  <c r="B56" i="8"/>
  <c r="B33" i="8"/>
  <c r="B29" i="8"/>
  <c r="B66" i="8"/>
  <c r="B74" i="8"/>
  <c r="B70" i="8"/>
  <c r="B80" i="8"/>
  <c r="B88" i="8"/>
  <c r="B84" i="8"/>
  <c r="B25" i="8"/>
  <c r="B19" i="8"/>
  <c r="B15" i="8"/>
  <c r="B11" i="8"/>
  <c r="B49" i="8"/>
  <c r="B45" i="8"/>
  <c r="B41" i="8"/>
  <c r="B63" i="8"/>
  <c r="B59" i="8"/>
  <c r="B55" i="8"/>
  <c r="B24" i="8"/>
  <c r="B32" i="8"/>
  <c r="B28" i="8"/>
  <c r="B77" i="8"/>
  <c r="B73" i="8"/>
  <c r="B69" i="8"/>
  <c r="B91" i="8"/>
  <c r="B87" i="8"/>
  <c r="B83" i="8"/>
  <c r="B26" i="8"/>
  <c r="L1" i="2"/>
  <c r="L2" i="2" s="1"/>
  <c r="I1" i="2" l="1"/>
  <c r="E17" i="1" l="1"/>
  <c r="C23" i="2" s="1"/>
  <c r="C43" i="13" s="1"/>
  <c r="E16" i="1"/>
  <c r="E12" i="1"/>
  <c r="E8" i="1"/>
  <c r="E4" i="1"/>
  <c r="E15" i="1"/>
  <c r="C21" i="2" s="1"/>
  <c r="C41" i="13" s="1"/>
  <c r="E11" i="1"/>
  <c r="E7" i="1"/>
  <c r="E14" i="1"/>
  <c r="E10" i="1"/>
  <c r="E6" i="1"/>
  <c r="C12" i="2" s="1"/>
  <c r="C32" i="13" s="1"/>
  <c r="E13" i="1"/>
  <c r="E9" i="1"/>
  <c r="C15" i="2" s="1"/>
  <c r="C35" i="13" s="1"/>
  <c r="E5" i="1"/>
  <c r="C11" i="2" s="1"/>
  <c r="C31" i="13" s="1"/>
  <c r="E17" i="5"/>
  <c r="E13" i="5"/>
  <c r="E9" i="5"/>
  <c r="E5" i="5"/>
  <c r="E11" i="5"/>
  <c r="G17" i="2" s="1"/>
  <c r="C51" i="13" s="1"/>
  <c r="E14" i="5"/>
  <c r="G20" i="2" s="1"/>
  <c r="C54" i="13" s="1"/>
  <c r="E10" i="5"/>
  <c r="G16" i="2" s="1"/>
  <c r="C50" i="13" s="1"/>
  <c r="E6" i="5"/>
  <c r="G12" i="2" s="1"/>
  <c r="C46" i="13" s="1"/>
  <c r="E16" i="5"/>
  <c r="E12" i="5"/>
  <c r="E8" i="5"/>
  <c r="G14" i="2" s="1"/>
  <c r="C48" i="13" s="1"/>
  <c r="E4" i="5"/>
  <c r="E15" i="5"/>
  <c r="G21" i="2" s="1"/>
  <c r="C55" i="13" s="1"/>
  <c r="E7" i="5"/>
  <c r="E17" i="3"/>
  <c r="E13" i="3"/>
  <c r="E9" i="3"/>
  <c r="E5" i="3"/>
  <c r="E11" i="3"/>
  <c r="E14" i="3"/>
  <c r="E10" i="3"/>
  <c r="E6" i="3"/>
  <c r="E16" i="3"/>
  <c r="E12" i="3"/>
  <c r="E8" i="3"/>
  <c r="E4" i="3"/>
  <c r="E15" i="3"/>
  <c r="E7" i="3"/>
  <c r="E17" i="4"/>
  <c r="E13" i="4"/>
  <c r="O19" i="2" s="1"/>
  <c r="C81" i="13" s="1"/>
  <c r="E9" i="4"/>
  <c r="E5" i="4"/>
  <c r="E16" i="4"/>
  <c r="E12" i="4"/>
  <c r="E8" i="4"/>
  <c r="E4" i="4"/>
  <c r="E15" i="4"/>
  <c r="E11" i="4"/>
  <c r="O17" i="2" s="1"/>
  <c r="C79" i="13" s="1"/>
  <c r="E7" i="4"/>
  <c r="O13" i="2" s="1"/>
  <c r="C75" i="13" s="1"/>
  <c r="E14" i="4"/>
  <c r="E10" i="4"/>
  <c r="E6" i="4"/>
  <c r="E17" i="6"/>
  <c r="S23" i="2" s="1"/>
  <c r="C99" i="13" s="1"/>
  <c r="E13" i="6"/>
  <c r="E9" i="6"/>
  <c r="E5" i="6"/>
  <c r="E11" i="6"/>
  <c r="S17" i="2" s="1"/>
  <c r="C93" i="13" s="1"/>
  <c r="E16" i="6"/>
  <c r="E12" i="6"/>
  <c r="E8" i="6"/>
  <c r="E4" i="6"/>
  <c r="E15" i="6"/>
  <c r="E7" i="6"/>
  <c r="E14" i="6"/>
  <c r="E10" i="6"/>
  <c r="E6" i="6"/>
  <c r="R2" i="2"/>
  <c r="S1" i="2" s="1"/>
  <c r="E8" i="7"/>
  <c r="W14" i="2" s="1"/>
  <c r="C104" i="13" s="1"/>
  <c r="E5" i="7"/>
  <c r="W11" i="2" s="1"/>
  <c r="C101" i="13" s="1"/>
  <c r="E16" i="7"/>
  <c r="W22" i="2" s="1"/>
  <c r="C112" i="13" s="1"/>
  <c r="E2" i="1" l="1"/>
  <c r="E2" i="5"/>
  <c r="E2" i="3"/>
  <c r="E2" i="4"/>
  <c r="E2" i="6"/>
  <c r="S2" i="2"/>
  <c r="S3" i="2"/>
  <c r="C23" i="8"/>
  <c r="C34" i="8"/>
  <c r="C61" i="8"/>
  <c r="C35" i="8"/>
  <c r="C55" i="8"/>
  <c r="C92" i="8"/>
  <c r="E92" i="8" s="1"/>
  <c r="C59" i="8"/>
  <c r="C31" i="8"/>
  <c r="C15" i="8"/>
  <c r="C79" i="8"/>
  <c r="C12" i="8"/>
  <c r="C21" i="8"/>
  <c r="C84" i="8"/>
  <c r="C11" i="8"/>
  <c r="C28" i="8"/>
  <c r="C81" i="8"/>
  <c r="E81" i="8" s="1"/>
  <c r="C73" i="8"/>
  <c r="C26" i="8"/>
  <c r="C30" i="8"/>
  <c r="O22" i="2"/>
  <c r="C84" i="13" s="1"/>
  <c r="S13" i="2"/>
  <c r="C89" i="13" s="1"/>
  <c r="G11" i="2"/>
  <c r="C45" i="13" s="1"/>
  <c r="E6" i="7"/>
  <c r="W12" i="2" s="1"/>
  <c r="C102" i="13" s="1"/>
  <c r="G15" i="2"/>
  <c r="C49" i="13" s="1"/>
  <c r="E10" i="7"/>
  <c r="W16" i="2" s="1"/>
  <c r="C106" i="13" s="1"/>
  <c r="G19" i="2"/>
  <c r="C53" i="13" s="1"/>
  <c r="S15" i="2"/>
  <c r="C91" i="13" s="1"/>
  <c r="K11" i="2"/>
  <c r="C59" i="13" s="1"/>
  <c r="K22" i="2"/>
  <c r="C70" i="13" s="1"/>
  <c r="O23" i="2"/>
  <c r="C85" i="13" s="1"/>
  <c r="S20" i="2"/>
  <c r="C96" i="13" s="1"/>
  <c r="K20" i="2"/>
  <c r="C68" i="13" s="1"/>
  <c r="E9" i="7"/>
  <c r="W15" i="2" s="1"/>
  <c r="C105" i="13" s="1"/>
  <c r="K13" i="2"/>
  <c r="C61" i="13" s="1"/>
  <c r="S12" i="2"/>
  <c r="C88" i="13" s="1"/>
  <c r="K17" i="2"/>
  <c r="C65" i="13" s="1"/>
  <c r="S16" i="2"/>
  <c r="C92" i="13" s="1"/>
  <c r="K21" i="2"/>
  <c r="C69" i="13" s="1"/>
  <c r="G22" i="2"/>
  <c r="C56" i="13" s="1"/>
  <c r="S22" i="2"/>
  <c r="C98" i="13" s="1"/>
  <c r="G23" i="2"/>
  <c r="C57" i="13" s="1"/>
  <c r="K23" i="2"/>
  <c r="C71" i="13" s="1"/>
  <c r="C22" i="2"/>
  <c r="C42" i="13" s="1"/>
  <c r="E11" i="7"/>
  <c r="W17" i="2" s="1"/>
  <c r="C107" i="13" s="1"/>
  <c r="S19" i="2"/>
  <c r="C95" i="13" s="1"/>
  <c r="S14" i="2"/>
  <c r="C90" i="13" s="1"/>
  <c r="O15" i="2"/>
  <c r="C77" i="13" s="1"/>
  <c r="G13" i="2"/>
  <c r="C47" i="13" s="1"/>
  <c r="G18" i="2"/>
  <c r="C52" i="13" s="1"/>
  <c r="K15" i="2"/>
  <c r="C63" i="13" s="1"/>
  <c r="C18" i="2"/>
  <c r="C38" i="13" s="1"/>
  <c r="C17" i="2"/>
  <c r="C37" i="13" s="1"/>
  <c r="E13" i="7"/>
  <c r="W19" i="2" s="1"/>
  <c r="C109" i="13" s="1"/>
  <c r="S21" i="2"/>
  <c r="C97" i="13" s="1"/>
  <c r="E7" i="7"/>
  <c r="W13" i="2" s="1"/>
  <c r="C103" i="13" s="1"/>
  <c r="O12" i="2"/>
  <c r="C74" i="13" s="1"/>
  <c r="O21" i="2"/>
  <c r="C83" i="13" s="1"/>
  <c r="K19" i="2"/>
  <c r="C67" i="13" s="1"/>
  <c r="K14" i="2"/>
  <c r="C62" i="13" s="1"/>
  <c r="C16" i="2"/>
  <c r="C36" i="13" s="1"/>
  <c r="S11" i="2"/>
  <c r="C87" i="13" s="1"/>
  <c r="E12" i="7"/>
  <c r="W18" i="2" s="1"/>
  <c r="C108" i="13" s="1"/>
  <c r="E15" i="7"/>
  <c r="W21" i="2" s="1"/>
  <c r="C111" i="13" s="1"/>
  <c r="O16" i="2"/>
  <c r="C78" i="13" s="1"/>
  <c r="O14" i="2"/>
  <c r="C76" i="13" s="1"/>
  <c r="K12" i="2"/>
  <c r="C60" i="13" s="1"/>
  <c r="K18" i="2"/>
  <c r="C66" i="13" s="1"/>
  <c r="C20" i="2"/>
  <c r="C40" i="13" s="1"/>
  <c r="S18" i="2"/>
  <c r="C94" i="13" s="1"/>
  <c r="E14" i="7"/>
  <c r="W20" i="2" s="1"/>
  <c r="C110" i="13" s="1"/>
  <c r="O11" i="2"/>
  <c r="C73" i="13" s="1"/>
  <c r="O20" i="2"/>
  <c r="C82" i="13" s="1"/>
  <c r="O18" i="2"/>
  <c r="C80" i="13" s="1"/>
  <c r="K16" i="2"/>
  <c r="C64" i="13" s="1"/>
  <c r="C14" i="2"/>
  <c r="C34" i="13" s="1"/>
  <c r="C13" i="2"/>
  <c r="C33" i="13" s="1"/>
  <c r="E4" i="7"/>
  <c r="C19" i="2"/>
  <c r="C39" i="13" s="1"/>
  <c r="E17" i="7"/>
  <c r="W23" i="2" s="1"/>
  <c r="C113" i="13" s="1"/>
  <c r="C90" i="8" l="1"/>
  <c r="E90" i="8" s="1"/>
  <c r="C88" i="8"/>
  <c r="E88" i="8" s="1"/>
  <c r="C77" i="8"/>
  <c r="E77" i="8" s="1"/>
  <c r="C65" i="8"/>
  <c r="E65" i="8" s="1"/>
  <c r="C44" i="8"/>
  <c r="E44" i="8" s="1"/>
  <c r="C40" i="8"/>
  <c r="E40" i="8" s="1"/>
  <c r="C47" i="8"/>
  <c r="C43" i="8"/>
  <c r="C70" i="8"/>
  <c r="E70" i="8" s="1"/>
  <c r="C51" i="8"/>
  <c r="C49" i="8"/>
  <c r="E49" i="8" s="1"/>
  <c r="C41" i="8"/>
  <c r="E41" i="8" s="1"/>
  <c r="C33" i="8"/>
  <c r="C25" i="8"/>
  <c r="C60" i="8"/>
  <c r="E60" i="8" s="1"/>
  <c r="C74" i="8"/>
  <c r="E74" i="8" s="1"/>
  <c r="C56" i="8"/>
  <c r="E56" i="8" s="1"/>
  <c r="C67" i="8"/>
  <c r="E67" i="8" s="1"/>
  <c r="C63" i="8"/>
  <c r="E63" i="8" s="1"/>
  <c r="C89" i="8"/>
  <c r="E89" i="8" s="1"/>
  <c r="C32" i="8"/>
  <c r="C75" i="8"/>
  <c r="C37" i="8"/>
  <c r="E37" i="8" s="1"/>
  <c r="C72" i="8"/>
  <c r="E72" i="8" s="1"/>
  <c r="C85" i="8"/>
  <c r="E85" i="8" s="1"/>
  <c r="C50" i="8"/>
  <c r="E50" i="8" s="1"/>
  <c r="C86" i="8"/>
  <c r="E86" i="8" s="1"/>
  <c r="C69" i="8"/>
  <c r="E69" i="8" s="1"/>
  <c r="C19" i="8"/>
  <c r="C13" i="8"/>
  <c r="E13" i="8" s="1"/>
  <c r="C62" i="8"/>
  <c r="E62" i="8" s="1"/>
  <c r="C20" i="8"/>
  <c r="E20" i="8" s="1"/>
  <c r="C58" i="8"/>
  <c r="E58" i="8" s="1"/>
  <c r="E79" i="8"/>
  <c r="C16" i="8"/>
  <c r="C54" i="8"/>
  <c r="E54" i="8" s="1"/>
  <c r="C17" i="8"/>
  <c r="E17" i="8" s="1"/>
  <c r="C27" i="8"/>
  <c r="E27" i="8" s="1"/>
  <c r="C87" i="8"/>
  <c r="E87" i="8" s="1"/>
  <c r="C78" i="8"/>
  <c r="E78" i="8" s="1"/>
  <c r="C45" i="8"/>
  <c r="E45" i="8" s="1"/>
  <c r="C48" i="8"/>
  <c r="E61" i="8"/>
  <c r="C39" i="8"/>
  <c r="E39" i="8" s="1"/>
  <c r="C29" i="8"/>
  <c r="E29" i="8" s="1"/>
  <c r="C64" i="8"/>
  <c r="E64" i="8" s="1"/>
  <c r="C93" i="8"/>
  <c r="E93" i="8" s="1"/>
  <c r="C14" i="8"/>
  <c r="E14" i="8" s="1"/>
  <c r="C53" i="8"/>
  <c r="E53" i="8" s="1"/>
  <c r="C46" i="8"/>
  <c r="C91" i="8"/>
  <c r="C42" i="8"/>
  <c r="C83" i="8"/>
  <c r="E83" i="8" s="1"/>
  <c r="C18" i="8"/>
  <c r="E18" i="8" s="1"/>
  <c r="E59" i="8"/>
  <c r="C57" i="8"/>
  <c r="E57" i="8" s="1"/>
  <c r="C22" i="8"/>
  <c r="E22" i="8" s="1"/>
  <c r="C36" i="8"/>
  <c r="C68" i="8"/>
  <c r="E68" i="8" s="1"/>
  <c r="C76" i="8"/>
  <c r="E76" i="8" s="1"/>
  <c r="C71" i="8"/>
  <c r="E71" i="8" s="1"/>
  <c r="C82" i="8"/>
  <c r="E82" i="8" s="1"/>
  <c r="E84" i="8"/>
  <c r="E28" i="8"/>
  <c r="E21" i="8"/>
  <c r="E55" i="8"/>
  <c r="E31" i="8"/>
  <c r="G10" i="2"/>
  <c r="C44" i="13" s="1"/>
  <c r="G8" i="2"/>
  <c r="K8" i="2"/>
  <c r="K10" i="2"/>
  <c r="C58" i="13" s="1"/>
  <c r="W10" i="2"/>
  <c r="C100" i="13" s="1"/>
  <c r="E2" i="7"/>
  <c r="W8" i="2" s="1"/>
  <c r="S8" i="2"/>
  <c r="S10" i="2"/>
  <c r="C86" i="13" s="1"/>
  <c r="C8" i="2"/>
  <c r="C10" i="2"/>
  <c r="C30" i="13" s="1"/>
  <c r="O10" i="2"/>
  <c r="C72" i="13" s="1"/>
  <c r="O8" i="2"/>
  <c r="O6" i="2" l="1"/>
  <c r="O5" i="2"/>
  <c r="O7" i="2"/>
  <c r="S5" i="2"/>
  <c r="S7" i="2"/>
  <c r="S6" i="2"/>
  <c r="K6" i="2"/>
  <c r="K7" i="2"/>
  <c r="K5" i="2"/>
  <c r="W5" i="2"/>
  <c r="W7" i="2"/>
  <c r="W6" i="2"/>
  <c r="G6" i="2"/>
  <c r="G5" i="2"/>
  <c r="G7" i="2"/>
  <c r="O2" i="8"/>
  <c r="P2" i="8" s="1"/>
  <c r="P1" i="8" s="1"/>
  <c r="C5" i="2"/>
  <c r="C7" i="2"/>
  <c r="C6" i="2"/>
  <c r="E48" i="8"/>
  <c r="C80" i="8"/>
  <c r="E80" i="8" s="1"/>
  <c r="E75" i="8"/>
  <c r="C24" i="8"/>
  <c r="E24" i="8" s="1"/>
  <c r="E42" i="8"/>
  <c r="C52" i="8"/>
  <c r="E52" i="8" s="1"/>
  <c r="E12" i="8"/>
  <c r="C10" i="8"/>
  <c r="E51" i="8"/>
  <c r="C66" i="8"/>
  <c r="E66" i="8" s="1"/>
  <c r="E73" i="8"/>
  <c r="C38" i="8"/>
  <c r="E38" i="8" s="1"/>
  <c r="E33" i="8"/>
  <c r="E23" i="8"/>
  <c r="E19" i="8"/>
  <c r="E16" i="8"/>
  <c r="E47" i="8"/>
  <c r="E91" i="8"/>
  <c r="E15" i="8"/>
  <c r="E26" i="8"/>
  <c r="E34" i="8"/>
  <c r="E35" i="8"/>
  <c r="E11" i="8"/>
  <c r="E43" i="8"/>
  <c r="E25" i="8"/>
  <c r="E46" i="8"/>
  <c r="E10" i="8" l="1"/>
  <c r="C3" i="8"/>
  <c r="F2" i="2" s="1"/>
  <c r="E32" i="8"/>
  <c r="E36" i="8"/>
  <c r="E30" i="8"/>
  <c r="E3" i="8" l="1"/>
  <c r="C28" i="2" l="1"/>
  <c r="R28" i="2" s="1"/>
  <c r="C1" i="8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<sst xmlns="http://schemas.openxmlformats.org/spreadsheetml/2006/main" count="152" uniqueCount="78">
  <si>
    <t>Грамм</t>
  </si>
  <si>
    <t>продукт</t>
  </si>
  <si>
    <t>№</t>
  </si>
  <si>
    <t>Технология приготовления:</t>
  </si>
  <si>
    <t>вес массы в  гр.</t>
  </si>
  <si>
    <t>В пересчете на форму диаметром</t>
  </si>
  <si>
    <t xml:space="preserve">на квадратную форму </t>
  </si>
  <si>
    <t>1 ярус</t>
  </si>
  <si>
    <t>2 ярус</t>
  </si>
  <si>
    <t xml:space="preserve">Если ярусный то указать </t>
  </si>
  <si>
    <t>Первый расчет  на форму диаметром</t>
  </si>
  <si>
    <t xml:space="preserve">Продукт </t>
  </si>
  <si>
    <t>Составляющая</t>
  </si>
  <si>
    <t>Масло сливочное 82,5%</t>
  </si>
  <si>
    <t>Шоколада для ганаша</t>
  </si>
  <si>
    <t>Белок на БЗК гр</t>
  </si>
  <si>
    <t>Расчет Себестоимости торта</t>
  </si>
  <si>
    <t>Продукты</t>
  </si>
  <si>
    <t>Доставка</t>
  </si>
  <si>
    <t>Сахар</t>
  </si>
  <si>
    <t>Вода</t>
  </si>
  <si>
    <t>3 ярус</t>
  </si>
  <si>
    <t>Лимонная кислота</t>
  </si>
  <si>
    <t>Пакет фасовочный 12*14</t>
  </si>
  <si>
    <t>Коробка для торта</t>
  </si>
  <si>
    <t xml:space="preserve">Стоимость </t>
  </si>
  <si>
    <t>Электричество</t>
  </si>
  <si>
    <t>Кондитерский мешок</t>
  </si>
  <si>
    <t>Всего</t>
  </si>
  <si>
    <t>Покрытие</t>
  </si>
  <si>
    <t>шт</t>
  </si>
  <si>
    <t>Стоимость</t>
  </si>
  <si>
    <t>Зефирные фигурки</t>
  </si>
  <si>
    <t>грамм</t>
  </si>
  <si>
    <t>Палочки для мороженного</t>
  </si>
  <si>
    <t>Упаковочная бумага цвет</t>
  </si>
  <si>
    <t>Шпажки маленькие</t>
  </si>
  <si>
    <t>Подложка 2  толщ 30*30 см</t>
  </si>
  <si>
    <t>Итого</t>
  </si>
  <si>
    <t>Инвентарь, упаковка, дополнения к заказу</t>
  </si>
  <si>
    <t>Цена за</t>
  </si>
  <si>
    <t>единицу</t>
  </si>
  <si>
    <t>Закуп?</t>
  </si>
  <si>
    <t>Инвентарь в штуках</t>
  </si>
  <si>
    <t>вес торта, без крема</t>
  </si>
  <si>
    <t>общий вес готового  торта</t>
  </si>
  <si>
    <t>гр</t>
  </si>
  <si>
    <t>Меренга</t>
  </si>
  <si>
    <t>Испарения при выпекании</t>
  </si>
  <si>
    <t>Указать общий объем бисквита</t>
  </si>
  <si>
    <t>Фисташкоый бисквит</t>
  </si>
  <si>
    <t>Желток (17 г от 1 яйца)</t>
  </si>
  <si>
    <t>Сахар песок</t>
  </si>
  <si>
    <t>Мука пшеничная</t>
  </si>
  <si>
    <t>Паста дес. фисташка</t>
  </si>
  <si>
    <t>Кипяток</t>
  </si>
  <si>
    <t>Разрыхлитель</t>
  </si>
  <si>
    <t>Соль</t>
  </si>
  <si>
    <t>Творожный сыр</t>
  </si>
  <si>
    <t>Сливки 33 – 35%</t>
  </si>
  <si>
    <t>Масло подсолнечное</t>
  </si>
  <si>
    <t>Сливочный крем</t>
  </si>
  <si>
    <t>Молоко сгущенное(380 гр)</t>
  </si>
  <si>
    <t>Банановый мусс</t>
  </si>
  <si>
    <t>Желатин</t>
  </si>
  <si>
    <t xml:space="preserve">Изоляционный крем </t>
  </si>
  <si>
    <t xml:space="preserve">Шарики рисовые в глазури </t>
  </si>
  <si>
    <t>Масло взбить до бела, частями добавлять сгущенку, до полного соединения, немного остудить добавить шарики. Все хорошо промешать, что бы шарики были произолированы и не размокли от других кремов.</t>
  </si>
  <si>
    <t>Пропитка</t>
  </si>
  <si>
    <t>Сгущенку и пасту размешать  с водой.</t>
  </si>
  <si>
    <t>Просеять муку, добавить соль, разрыхлитель, лимонку. Все перемешать
В чаше миксера соединить сахар и яйца. Взбивать до белой пены не менее 10 минут.
Тем временем вскипятить воду. Соединить пасту с маслом.
Когда яичная смесь взобьется добавить пасту с маслом, перемешать. Добавить кипяток и муку. Аккуратно перемешать.
Для обычного торта делим на 2 и разливаем по формам.
Выпекаем 180 градусов. Без конвекции до сухой лучины. Примерно 40 минут.</t>
  </si>
  <si>
    <t>Ванильный сахар</t>
  </si>
  <si>
    <t>Перед взбиванием дежу миксера желательно охладить 10 минут в холодильник. Все соединить, взбить до устойчивых пиков.</t>
  </si>
  <si>
    <t>Бананы очистить, порезать на кусочки, проварить в микроволновке до мягкого состояния</t>
  </si>
  <si>
    <t>Паста дес. банан</t>
  </si>
  <si>
    <t>Банан кг (120-150гр)</t>
  </si>
  <si>
    <t xml:space="preserve">Сборка: Разрезать коржи, делить вес крема на столько, сколько прослоек у вас будет. если бисквитов получится 4, то соответственно прослоек крема 3 .  Сборка: Бисквит- пропитать– сливочный крем промазать низ , потолще бортики по краям и середина кольцо – между крема заполнить банановым муссом-бисквит– пропитать– сливочный крем промазать низ, потолще бортики по краям и середина кольцо– между бортиков заполнитьбанановым муссом - и т.д. 2 верхних слоя в мусс по бортикам, так же по бортикам из. крем с шариками - бисквит.    Даем ночь пропитаться, торт ганашим     </t>
  </si>
  <si>
    <t>Торт Фисташка банан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</si>
</sst>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₽&quot;;\-#,##0.00\ &quot;₽&quot;"/>
    <numFmt numFmtId="164" formatCode="0.0000"/>
    <numFmt numFmtId="165" formatCode="#,##0.00\ &quot;₽&quot;"/>
  </numFmts>
  <fonts count="30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charset val="204"/>
      <scheme val="minor"/>
    </font>
    <font>
      <sz val="11.5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6"/>
      <color theme="1"/>
      <name val="Aptos Narrow"/>
      <family val="2"/>
      <charset val="204"/>
      <scheme val="minor"/>
    </font>
    <font>
      <b/>
      <u/>
      <sz val="12"/>
      <color theme="1"/>
      <name val="Aptos Narrow"/>
      <family val="2"/>
      <scheme val="minor"/>
    </font>
    <font>
      <sz val="11"/>
      <color theme="0"/>
      <name val="Aptos Narrow"/>
      <family val="2"/>
      <charset val="204"/>
      <scheme val="minor"/>
    </font>
    <font>
      <b/>
      <sz val="12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6"/>
      <color rgb="FFFF0000"/>
      <name val="Aptos Narrow"/>
      <family val="2"/>
      <scheme val="minor"/>
    </font>
    <font>
      <sz val="8"/>
      <name val="Aptos Narrow"/>
      <family val="2"/>
      <charset val="204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16"/>
      <color rgb="FFC00000"/>
      <name val="Aptos Narrow"/>
      <family val="2"/>
      <scheme val="minor"/>
    </font>
    <font>
      <b/>
      <sz val="14"/>
      <color theme="7" tint="-0.499984740745262"/>
      <name val="Aptos Narrow"/>
      <family val="2"/>
      <scheme val="minor"/>
    </font>
    <font>
      <b/>
      <i/>
      <u/>
      <sz val="16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u/>
      <sz val="18"/>
      <color theme="1"/>
      <name val="Aptos Narrow"/>
      <family val="2"/>
      <scheme val="minor"/>
    </font>
    <font>
      <sz val="9.5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1E6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EB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1" fontId="0" fillId="0" borderId="1" xfId="0" applyNumberFormat="1" applyBorder="1"/>
    <xf numFmtId="0" fontId="0" fillId="0" borderId="1" xfId="0" applyBorder="1" applyProtection="1">
      <protection locked="0"/>
    </xf>
    <xf numFmtId="1" fontId="0" fillId="0" borderId="1" xfId="0" applyNumberFormat="1" applyBorder="1" applyProtection="1">
      <protection locked="0"/>
    </xf>
    <xf numFmtId="0" fontId="1" fillId="0" borderId="0" xfId="0" applyFont="1" applyAlignment="1">
      <alignment horizontal="center"/>
    </xf>
    <xf numFmtId="1" fontId="8" fillId="0" borderId="0" xfId="0" applyNumberFormat="1" applyFont="1" applyAlignment="1">
      <alignment horizontal="right" wrapText="1"/>
    </xf>
    <xf numFmtId="164" fontId="8" fillId="0" borderId="0" xfId="0" applyNumberFormat="1" applyFont="1" applyAlignment="1">
      <alignment horizontal="right" wrapText="1"/>
    </xf>
    <xf numFmtId="4" fontId="6" fillId="2" borderId="0" xfId="0" applyNumberFormat="1" applyFont="1" applyFill="1" applyAlignment="1">
      <alignment vertical="center"/>
    </xf>
    <xf numFmtId="1" fontId="4" fillId="0" borderId="0" xfId="0" applyNumberFormat="1" applyFont="1" applyAlignment="1">
      <alignment horizontal="left" vertical="top" wrapText="1"/>
    </xf>
    <xf numFmtId="1" fontId="4" fillId="0" borderId="0" xfId="0" applyNumberFormat="1" applyFont="1" applyAlignment="1">
      <alignment horizontal="center" vertical="top" wrapText="1"/>
    </xf>
    <xf numFmtId="0" fontId="4" fillId="0" borderId="0" xfId="0" applyFont="1"/>
    <xf numFmtId="1" fontId="4" fillId="0" borderId="0" xfId="0" applyNumberFormat="1" applyFont="1"/>
    <xf numFmtId="0" fontId="4" fillId="0" borderId="0" xfId="0" applyFont="1" applyAlignment="1">
      <alignment horizontal="center" vertical="top"/>
    </xf>
    <xf numFmtId="0" fontId="13" fillId="0" borderId="0" xfId="0" applyFont="1" applyAlignment="1">
      <alignment vertical="top"/>
    </xf>
    <xf numFmtId="1" fontId="4" fillId="0" borderId="0" xfId="0" applyNumberFormat="1" applyFont="1" applyAlignment="1">
      <alignment vertical="top" wrapText="1"/>
    </xf>
    <xf numFmtId="0" fontId="1" fillId="0" borderId="6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3" xfId="0" applyNumberFormat="1" applyBorder="1"/>
    <xf numFmtId="1" fontId="3" fillId="0" borderId="1" xfId="0" applyNumberFormat="1" applyFont="1" applyBorder="1" applyAlignment="1">
      <alignment wrapText="1"/>
    </xf>
    <xf numFmtId="1" fontId="3" fillId="0" borderId="4" xfId="0" applyNumberFormat="1" applyFont="1" applyBorder="1" applyAlignment="1">
      <alignment horizontal="center"/>
    </xf>
    <xf numFmtId="0" fontId="3" fillId="0" borderId="0" xfId="0" applyFont="1"/>
    <xf numFmtId="1" fontId="3" fillId="0" borderId="4" xfId="0" applyNumberFormat="1" applyFont="1" applyBorder="1" applyAlignment="1">
      <alignment wrapText="1"/>
    </xf>
    <xf numFmtId="1" fontId="0" fillId="0" borderId="0" xfId="0" applyNumberFormat="1" applyAlignment="1">
      <alignment wrapText="1"/>
    </xf>
    <xf numFmtId="1" fontId="9" fillId="3" borderId="0" xfId="0" applyNumberFormat="1" applyFont="1" applyFill="1" applyAlignment="1" applyProtection="1">
      <alignment horizontal="center"/>
      <protection locked="0"/>
    </xf>
    <xf numFmtId="49" fontId="0" fillId="5" borderId="11" xfId="0" applyNumberFormat="1" applyFill="1" applyBorder="1" applyAlignment="1">
      <alignment horizontal="left" vertical="top" wrapText="1"/>
    </xf>
    <xf numFmtId="49" fontId="0" fillId="0" borderId="0" xfId="0" applyNumberFormat="1"/>
    <xf numFmtId="0" fontId="5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6" fillId="0" borderId="0" xfId="0" applyFont="1"/>
    <xf numFmtId="1" fontId="1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165" fontId="19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vertical="center"/>
    </xf>
    <xf numFmtId="4" fontId="22" fillId="0" borderId="0" xfId="0" applyNumberFormat="1" applyFont="1" applyAlignment="1">
      <alignment horizontal="right" vertical="center"/>
    </xf>
    <xf numFmtId="4" fontId="20" fillId="0" borderId="0" xfId="0" applyNumberFormat="1" applyFont="1" applyAlignment="1">
      <alignment horizontal="center" vertical="center"/>
    </xf>
    <xf numFmtId="7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7" fontId="1" fillId="0" borderId="0" xfId="0" applyNumberFormat="1" applyFont="1" applyAlignment="1" applyProtection="1">
      <alignment horizontal="center" vertical="center"/>
      <protection locked="0"/>
    </xf>
    <xf numFmtId="1" fontId="10" fillId="0" borderId="0" xfId="0" applyNumberFormat="1" applyFont="1" applyAlignment="1" applyProtection="1">
      <alignment horizontal="center" vertical="center"/>
      <protection locked="0"/>
    </xf>
    <xf numFmtId="1" fontId="0" fillId="0" borderId="21" xfId="0" applyNumberFormat="1" applyBorder="1"/>
    <xf numFmtId="1" fontId="0" fillId="0" borderId="2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24" xfId="0" applyBorder="1"/>
    <xf numFmtId="1" fontId="0" fillId="0" borderId="26" xfId="0" applyNumberFormat="1" applyBorder="1"/>
    <xf numFmtId="0" fontId="0" fillId="0" borderId="27" xfId="0" applyBorder="1"/>
    <xf numFmtId="0" fontId="0" fillId="0" borderId="22" xfId="0" applyBorder="1"/>
    <xf numFmtId="0" fontId="0" fillId="0" borderId="0" xfId="0" applyAlignment="1">
      <alignment vertical="center"/>
    </xf>
    <xf numFmtId="1" fontId="0" fillId="0" borderId="26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5" fillId="0" borderId="0" xfId="0" applyFont="1" applyAlignment="1">
      <alignment horizontal="left" vertical="top" wrapText="1"/>
    </xf>
    <xf numFmtId="1" fontId="23" fillId="0" borderId="0" xfId="0" applyNumberFormat="1" applyFont="1" applyAlignment="1" applyProtection="1">
      <alignment vertical="center" wrapText="1"/>
      <protection locked="0"/>
    </xf>
    <xf numFmtId="1" fontId="26" fillId="0" borderId="0" xfId="0" applyNumberFormat="1" applyFont="1" applyAlignment="1" applyProtection="1">
      <alignment vertical="top" wrapText="1"/>
      <protection locked="0"/>
    </xf>
    <xf numFmtId="1" fontId="23" fillId="0" borderId="19" xfId="0" applyNumberFormat="1" applyFont="1" applyBorder="1" applyAlignment="1" applyProtection="1">
      <alignment vertical="center" wrapText="1"/>
      <protection locked="0"/>
    </xf>
    <xf numFmtId="1" fontId="23" fillId="0" borderId="17" xfId="0" applyNumberFormat="1" applyFont="1" applyBorder="1" applyAlignment="1" applyProtection="1">
      <alignment vertical="center" wrapText="1"/>
      <protection locked="0"/>
    </xf>
    <xf numFmtId="1" fontId="21" fillId="0" borderId="18" xfId="0" applyNumberFormat="1" applyFont="1" applyBorder="1" applyAlignment="1">
      <alignment horizontal="center" wrapText="1"/>
    </xf>
    <xf numFmtId="1" fontId="0" fillId="0" borderId="18" xfId="0" applyNumberFormat="1" applyBorder="1" applyAlignment="1">
      <alignment wrapText="1"/>
    </xf>
    <xf numFmtId="0" fontId="0" fillId="0" borderId="19" xfId="0" applyBorder="1" applyAlignment="1">
      <alignment wrapText="1"/>
    </xf>
    <xf numFmtId="1" fontId="2" fillId="4" borderId="13" xfId="0" applyNumberFormat="1" applyFont="1" applyFill="1" applyBorder="1" applyAlignment="1" applyProtection="1">
      <alignment horizontal="center" vertical="center" wrapText="1"/>
      <protection locked="0"/>
    </xf>
    <xf numFmtId="1" fontId="5" fillId="3" borderId="13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top"/>
    </xf>
    <xf numFmtId="0" fontId="1" fillId="0" borderId="15" xfId="0" applyFont="1" applyBorder="1" applyAlignment="1">
      <alignment horizontal="left"/>
    </xf>
    <xf numFmtId="1" fontId="0" fillId="0" borderId="12" xfId="0" applyNumberFormat="1" applyBorder="1" applyAlignment="1">
      <alignment horizontal="center"/>
    </xf>
    <xf numFmtId="1" fontId="0" fillId="0" borderId="16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7" xfId="0" applyBorder="1" applyAlignment="1" applyProtection="1">
      <alignment horizontal="center" wrapText="1"/>
      <protection hidden="1"/>
    </xf>
    <xf numFmtId="1" fontId="0" fillId="0" borderId="19" xfId="0" applyNumberFormat="1" applyBorder="1" applyAlignment="1">
      <alignment horizontal="left"/>
    </xf>
    <xf numFmtId="1" fontId="5" fillId="0" borderId="15" xfId="0" applyNumberFormat="1" applyFont="1" applyBorder="1" applyAlignment="1">
      <alignment horizontal="center" vertical="top" wrapText="1"/>
    </xf>
    <xf numFmtId="1" fontId="26" fillId="0" borderId="28" xfId="0" applyNumberFormat="1" applyFont="1" applyBorder="1" applyAlignment="1" applyProtection="1">
      <alignment vertical="top" wrapText="1"/>
      <protection locked="0"/>
    </xf>
    <xf numFmtId="1" fontId="1" fillId="0" borderId="29" xfId="0" applyNumberFormat="1" applyFont="1" applyBorder="1"/>
    <xf numFmtId="0" fontId="14" fillId="0" borderId="29" xfId="0" applyFont="1" applyBorder="1"/>
    <xf numFmtId="0" fontId="1" fillId="0" borderId="29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27" fillId="0" borderId="0" xfId="0" applyFont="1" applyAlignment="1">
      <alignment horizontal="left" vertical="top" wrapText="1"/>
    </xf>
    <xf numFmtId="1" fontId="10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1" fontId="28" fillId="0" borderId="0" xfId="0" applyNumberFormat="1" applyFont="1" applyAlignment="1" applyProtection="1">
      <alignment horizontal="center" vertical="center"/>
      <protection locked="0"/>
    </xf>
    <xf numFmtId="1" fontId="10" fillId="0" borderId="0" xfId="0" applyNumberFormat="1" applyFont="1" applyAlignment="1" applyProtection="1">
      <alignment horizontal="center" vertical="center" wrapText="1"/>
      <protection locked="0"/>
    </xf>
    <xf numFmtId="1" fontId="0" fillId="0" borderId="3" xfId="0" applyNumberFormat="1" applyBorder="1"/>
    <xf numFmtId="1" fontId="0" fillId="0" borderId="1" xfId="0" applyNumberFormat="1" applyBorder="1"/>
    <xf numFmtId="1" fontId="0" fillId="0" borderId="4" xfId="0" applyNumberFormat="1" applyBorder="1"/>
    <xf numFmtId="0" fontId="24" fillId="0" borderId="1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15" xfId="0" applyFont="1" applyBorder="1" applyAlignment="1">
      <alignment horizontal="center" vertical="top"/>
    </xf>
    <xf numFmtId="0" fontId="11" fillId="0" borderId="17" xfId="0" applyFont="1" applyBorder="1" applyAlignment="1" applyProtection="1">
      <alignment horizontal="center" vertical="top"/>
      <protection locked="0"/>
    </xf>
    <xf numFmtId="0" fontId="11" fillId="0" borderId="18" xfId="0" applyFont="1" applyBorder="1" applyAlignment="1" applyProtection="1">
      <alignment horizontal="center" vertical="top"/>
      <protection locked="0"/>
    </xf>
    <xf numFmtId="1" fontId="2" fillId="0" borderId="28" xfId="0" applyNumberFormat="1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top" wrapText="1"/>
    </xf>
    <xf numFmtId="1" fontId="2" fillId="0" borderId="5" xfId="0" applyNumberFormat="1" applyFont="1" applyBorder="1" applyAlignment="1">
      <alignment horizontal="center" vertical="top" wrapText="1"/>
    </xf>
    <xf numFmtId="1" fontId="26" fillId="0" borderId="0" xfId="0" applyNumberFormat="1" applyFont="1" applyAlignment="1" applyProtection="1">
      <alignment horizontal="center" vertical="top" wrapText="1"/>
      <protection locked="0"/>
    </xf>
    <xf numFmtId="1" fontId="24" fillId="0" borderId="14" xfId="0" applyNumberFormat="1" applyFont="1" applyBorder="1" applyAlignment="1">
      <alignment horizontal="center" vertical="center"/>
    </xf>
    <xf numFmtId="1" fontId="24" fillId="0" borderId="5" xfId="0" applyNumberFormat="1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right" vertical="center"/>
    </xf>
    <xf numFmtId="1" fontId="2" fillId="0" borderId="29" xfId="0" applyNumberFormat="1" applyFont="1" applyBorder="1" applyAlignment="1">
      <alignment horizontal="right" vertical="center"/>
    </xf>
    <xf numFmtId="1" fontId="19" fillId="0" borderId="0" xfId="0" applyNumberFormat="1" applyFont="1" applyAlignment="1">
      <alignment horizontal="right" vertical="center" wrapText="1"/>
    </xf>
    <xf numFmtId="165" fontId="29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wrapText="1"/>
    </xf>
    <xf numFmtId="1" fontId="18" fillId="0" borderId="0" xfId="0" applyNumberFormat="1" applyFont="1" applyAlignment="1" applyProtection="1">
      <alignment horizontal="left" vertical="top" wrapText="1"/>
      <protection locked="0"/>
    </xf>
    <xf numFmtId="1" fontId="27" fillId="0" borderId="8" xfId="0" applyNumberFormat="1" applyFont="1" applyBorder="1" applyAlignment="1">
      <alignment horizontal="left" vertical="top" wrapText="1"/>
    </xf>
    <xf numFmtId="1" fontId="27" fillId="0" borderId="9" xfId="0" applyNumberFormat="1" applyFont="1" applyBorder="1" applyAlignment="1">
      <alignment horizontal="left" vertical="top" wrapText="1"/>
    </xf>
    <xf numFmtId="1" fontId="27" fillId="0" borderId="10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1" fontId="4" fillId="0" borderId="4" xfId="0" applyNumberFormat="1" applyFont="1" applyBorder="1" applyAlignment="1">
      <alignment vertical="top" wrapText="1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0" fillId="0" borderId="25" xfId="0" applyBorder="1" applyAlignment="1">
      <alignment horizontal="center" vertical="center" textRotation="90"/>
    </xf>
    <xf numFmtId="1" fontId="0" fillId="0" borderId="20" xfId="0" applyNumberFormat="1" applyBorder="1" applyAlignment="1">
      <alignment horizontal="center" vertical="center" textRotation="90"/>
    </xf>
    <xf numFmtId="1" fontId="0" fillId="0" borderId="23" xfId="0" applyNumberFormat="1" applyBorder="1" applyAlignment="1">
      <alignment horizontal="center" vertical="center" textRotation="90"/>
    </xf>
    <xf numFmtId="1" fontId="0" fillId="0" borderId="25" xfId="0" applyNumberFormat="1" applyBorder="1" applyAlignment="1">
      <alignment horizontal="center" vertical="center" textRotation="90"/>
    </xf>
    <xf numFmtId="0" fontId="0" fillId="0" borderId="0" xfId="0" applyAlignment="1">
      <alignment horizontal="center" textRotation="90"/>
    </xf>
    <xf numFmtId="7" fontId="22" fillId="0" borderId="0" xfId="0" applyNumberFormat="1" applyFont="1" applyAlignment="1">
      <alignment horizontal="center" vertical="center"/>
    </xf>
    <xf numFmtId="4" fontId="2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&#1055;&#1088;&#1086;&#1077;&#1082;&#1090;&#1099;\&#1082;&#1091;&#1083;&#1080;&#1085;&#1072;&#1088;&#1085;&#1072;&#1103;%20&#1082;&#1085;&#1080;&#1075;&#1072;\!!!%20&#1044;&#1083;&#1103;%20&#1088;&#1072;&#1089;&#1095;&#1077;&#1090;&#1072;%20&#1089;&#1077;&#1073;&#1077;&#1089;&#1090;&#1086;&#1080;&#1084;&#1086;&#1089;&#1090;&#1080;.xlsx" TargetMode="External"/><Relationship Id="rId1" Type="http://schemas.openxmlformats.org/officeDocument/2006/relationships/externalLinkPath" Target="!!!%20&#1044;&#1083;&#1103;%20&#1088;&#1072;&#1089;&#1095;&#1077;&#1090;&#1072;%20&#1089;&#1077;&#1073;&#1077;&#1089;&#1090;&#1086;&#1080;&#1084;&#1086;&#1089;&#1090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2">
          <cell r="A2" t="str">
            <v>Бобы тонка</v>
          </cell>
          <cell r="D2">
            <v>1000</v>
          </cell>
        </row>
        <row r="3">
          <cell r="A3" t="str">
            <v>Агар-Агар</v>
          </cell>
          <cell r="D3">
            <v>1000</v>
          </cell>
        </row>
        <row r="4">
          <cell r="A4" t="str">
            <v>Арахис</v>
          </cell>
          <cell r="D4">
            <v>200</v>
          </cell>
        </row>
        <row r="5">
          <cell r="A5" t="str">
            <v>Ваниль (стручок)</v>
          </cell>
          <cell r="D5">
            <v>1000</v>
          </cell>
        </row>
        <row r="6">
          <cell r="A6" t="str">
            <v>Ванильный йогурт</v>
          </cell>
          <cell r="D6">
            <v>1000</v>
          </cell>
        </row>
        <row r="7">
          <cell r="A7" t="str">
            <v>Ванильный сахар</v>
          </cell>
          <cell r="D7">
            <v>8</v>
          </cell>
        </row>
        <row r="8">
          <cell r="A8" t="str">
            <v>Ванильный экстракт</v>
          </cell>
          <cell r="D8">
            <v>1000</v>
          </cell>
        </row>
        <row r="9">
          <cell r="A9" t="str">
            <v>Вафли трубочки</v>
          </cell>
          <cell r="D9">
            <v>400</v>
          </cell>
        </row>
        <row r="10">
          <cell r="A10" t="str">
            <v>Вода</v>
          </cell>
          <cell r="D10">
            <v>1000</v>
          </cell>
        </row>
        <row r="11">
          <cell r="A11" t="str">
            <v>Глюкоза</v>
          </cell>
          <cell r="D11">
            <v>300</v>
          </cell>
        </row>
        <row r="12">
          <cell r="A12" t="str">
            <v>Груша очищенная</v>
          </cell>
          <cell r="D12">
            <v>1000</v>
          </cell>
        </row>
        <row r="13">
          <cell r="A13" t="str">
            <v>Желатин</v>
          </cell>
          <cell r="D13">
            <v>50</v>
          </cell>
        </row>
        <row r="14">
          <cell r="A14" t="str">
            <v>Желатин листовой (г)</v>
          </cell>
          <cell r="D14">
            <v>1000</v>
          </cell>
        </row>
        <row r="15">
          <cell r="A15" t="str">
            <v>Желатиновая масса</v>
          </cell>
          <cell r="D15">
            <v>1000</v>
          </cell>
        </row>
        <row r="16">
          <cell r="A16" t="str">
            <v>Какао-порошок</v>
          </cell>
          <cell r="D16">
            <v>500</v>
          </cell>
        </row>
        <row r="17">
          <cell r="A17" t="str">
            <v>Кипяток</v>
          </cell>
          <cell r="D17">
            <v>1000</v>
          </cell>
        </row>
        <row r="18">
          <cell r="A18" t="str">
            <v>Кокосовая стружка</v>
          </cell>
          <cell r="D18">
            <v>100</v>
          </cell>
        </row>
        <row r="19">
          <cell r="A19" t="str">
            <v>Корица (г)</v>
          </cell>
          <cell r="D19">
            <v>25</v>
          </cell>
        </row>
        <row r="20">
          <cell r="A20" t="str">
            <v>Корица (палочка)</v>
          </cell>
          <cell r="D20">
            <v>1000</v>
          </cell>
        </row>
        <row r="21">
          <cell r="A21" t="str">
            <v>Краситель жирорастворимый</v>
          </cell>
          <cell r="D21">
            <v>5</v>
          </cell>
        </row>
        <row r="22">
          <cell r="A22" t="str">
            <v>Кукурузный крахмал</v>
          </cell>
          <cell r="D22">
            <v>400</v>
          </cell>
        </row>
        <row r="23">
          <cell r="A23" t="str">
            <v>Малина свежемороженая</v>
          </cell>
          <cell r="D23">
            <v>1000</v>
          </cell>
        </row>
        <row r="24">
          <cell r="A24" t="str">
            <v>Масло сливочное 82,5%</v>
          </cell>
          <cell r="D24">
            <v>1000</v>
          </cell>
        </row>
        <row r="25">
          <cell r="A25" t="str">
            <v>Мед</v>
          </cell>
          <cell r="D25">
            <v>3000</v>
          </cell>
        </row>
        <row r="26">
          <cell r="A26" t="str">
            <v>Миндаль</v>
          </cell>
          <cell r="D26">
            <v>1000</v>
          </cell>
        </row>
        <row r="27">
          <cell r="A27" t="str">
            <v>Молоко</v>
          </cell>
          <cell r="D27">
            <v>1500</v>
          </cell>
        </row>
        <row r="28">
          <cell r="A28" t="str">
            <v>Молоко сгущенное(380 гр)</v>
          </cell>
          <cell r="D28">
            <v>380</v>
          </cell>
        </row>
        <row r="29">
          <cell r="A29" t="str">
            <v>Молоко сгущенное (вар)380 гр</v>
          </cell>
          <cell r="D29">
            <v>380</v>
          </cell>
        </row>
        <row r="30">
          <cell r="A30" t="str">
            <v>Мука миндальная</v>
          </cell>
          <cell r="D30">
            <v>1000</v>
          </cell>
        </row>
        <row r="31">
          <cell r="A31" t="str">
            <v>Мука пшеничная</v>
          </cell>
          <cell r="D31">
            <v>2000</v>
          </cell>
        </row>
        <row r="32">
          <cell r="A32" t="str">
            <v>Мука фундучная</v>
          </cell>
          <cell r="D32">
            <v>1000</v>
          </cell>
        </row>
        <row r="33">
          <cell r="A33" t="str">
            <v>Мюсли из зерновых продуктов</v>
          </cell>
          <cell r="D33">
            <v>1000</v>
          </cell>
        </row>
        <row r="34">
          <cell r="A34" t="str">
            <v>Паста дес. малина</v>
          </cell>
          <cell r="D34">
            <v>125</v>
          </cell>
        </row>
        <row r="35">
          <cell r="A35" t="str">
            <v>Пектин NH</v>
          </cell>
          <cell r="D35">
            <v>1000</v>
          </cell>
        </row>
        <row r="36">
          <cell r="A36" t="str">
            <v>Масло подсолнечное</v>
          </cell>
          <cell r="D36">
            <v>1000</v>
          </cell>
        </row>
        <row r="37">
          <cell r="A37" t="str">
            <v>Пралине фундучно-миндальное</v>
          </cell>
          <cell r="D37">
            <v>1000</v>
          </cell>
        </row>
        <row r="38">
          <cell r="A38" t="str">
            <v>Пюре малиновое</v>
          </cell>
          <cell r="D38">
            <v>1000</v>
          </cell>
        </row>
        <row r="39">
          <cell r="A39" t="str">
            <v>Пюре мандариновое</v>
          </cell>
          <cell r="D39">
            <v>1000</v>
          </cell>
        </row>
        <row r="40">
          <cell r="A40" t="str">
            <v>Пюре юдзу</v>
          </cell>
          <cell r="D40">
            <v>1000</v>
          </cell>
        </row>
        <row r="41">
          <cell r="A41" t="str">
            <v>Разрыхлитель</v>
          </cell>
          <cell r="D41">
            <v>10</v>
          </cell>
        </row>
        <row r="42">
          <cell r="A42" t="str">
            <v>Рисовые шарики хрустящие</v>
          </cell>
          <cell r="D42">
            <v>1000</v>
          </cell>
        </row>
        <row r="43">
          <cell r="A43" t="str">
            <v>Сахар песок</v>
          </cell>
          <cell r="D43">
            <v>1000</v>
          </cell>
        </row>
        <row r="44">
          <cell r="A44" t="str">
            <v>Сахар тростниковый</v>
          </cell>
          <cell r="D44">
            <v>1000</v>
          </cell>
        </row>
        <row r="45">
          <cell r="A45" t="str">
            <v>Сахарная пудра</v>
          </cell>
          <cell r="D45">
            <v>250</v>
          </cell>
        </row>
        <row r="46">
          <cell r="A46" t="str">
            <v>Сливки 33 – 35%</v>
          </cell>
          <cell r="D46">
            <v>344.91</v>
          </cell>
        </row>
        <row r="47">
          <cell r="A47" t="str">
            <v>Сок апельсиновый</v>
          </cell>
          <cell r="D47">
            <v>1000</v>
          </cell>
        </row>
        <row r="48">
          <cell r="A48" t="str">
            <v>Соль</v>
          </cell>
          <cell r="D48">
            <v>1000</v>
          </cell>
        </row>
        <row r="49">
          <cell r="A49" t="str">
            <v>Маскарпоне сыр</v>
          </cell>
          <cell r="D49">
            <v>250</v>
          </cell>
        </row>
        <row r="50">
          <cell r="A50" t="str">
            <v>Фисташка</v>
          </cell>
          <cell r="D50">
            <v>1000</v>
          </cell>
        </row>
        <row r="51">
          <cell r="A51" t="str">
            <v>Цедра апельсина (шт.)</v>
          </cell>
          <cell r="D51">
            <v>1000</v>
          </cell>
        </row>
        <row r="52">
          <cell r="A52" t="str">
            <v>Цедра лайма (шт.)</v>
          </cell>
          <cell r="D52">
            <v>1000</v>
          </cell>
        </row>
        <row r="53">
          <cell r="A53" t="str">
            <v>Шоколад белый</v>
          </cell>
          <cell r="D53">
            <v>75</v>
          </cell>
        </row>
        <row r="54">
          <cell r="A54" t="str">
            <v>Шоколад молочный</v>
          </cell>
          <cell r="D54">
            <v>200</v>
          </cell>
        </row>
        <row r="55">
          <cell r="A55" t="str">
            <v>Шоколад темный</v>
          </cell>
          <cell r="D55">
            <v>82</v>
          </cell>
        </row>
        <row r="56">
          <cell r="A56" t="str">
            <v>Белок (34 г от 1 яйца)</v>
          </cell>
          <cell r="D56">
            <v>1020</v>
          </cell>
        </row>
        <row r="57">
          <cell r="A57" t="str">
            <v>Желток (17 г от 1 яйца)</v>
          </cell>
          <cell r="D57">
            <v>510</v>
          </cell>
        </row>
        <row r="58">
          <cell r="A58" t="str">
            <v>Яйцо гр (51 гр в 1 яйце)</v>
          </cell>
          <cell r="D58">
            <v>1530</v>
          </cell>
        </row>
        <row r="59">
          <cell r="A59" t="str">
            <v>Яйцо (шт)</v>
          </cell>
          <cell r="D59">
            <v>30</v>
          </cell>
        </row>
        <row r="60">
          <cell r="A60" t="str">
            <v>Апельсиновая цедра</v>
          </cell>
          <cell r="D60">
            <v>1000</v>
          </cell>
        </row>
        <row r="61">
          <cell r="A61" t="str">
            <v>Морковь</v>
          </cell>
          <cell r="D61">
            <v>1000</v>
          </cell>
        </row>
        <row r="62">
          <cell r="A62" t="str">
            <v>Коробка для торта</v>
          </cell>
          <cell r="D62">
            <v>1</v>
          </cell>
        </row>
        <row r="63">
          <cell r="A63" t="str">
            <v>Пакет фасовочный 12*14</v>
          </cell>
          <cell r="D63">
            <v>100</v>
          </cell>
        </row>
        <row r="64">
          <cell r="A64" t="str">
            <v>Кондитерский мешок</v>
          </cell>
          <cell r="D64">
            <v>100</v>
          </cell>
        </row>
        <row r="65">
          <cell r="A65" t="str">
            <v>Краска кондитерская</v>
          </cell>
          <cell r="D65">
            <v>1000</v>
          </cell>
        </row>
        <row r="66">
          <cell r="A66" t="str">
            <v>Сахар ванильный</v>
          </cell>
          <cell r="D66">
            <v>40</v>
          </cell>
        </row>
        <row r="67">
          <cell r="A67" t="str">
            <v>Шпажки маленькие</v>
          </cell>
          <cell r="D67">
            <v>50</v>
          </cell>
        </row>
        <row r="68">
          <cell r="A68" t="str">
            <v>Ось (шампур)</v>
          </cell>
          <cell r="D68">
            <v>100</v>
          </cell>
        </row>
        <row r="69">
          <cell r="A69" t="str">
            <v>Подложка 2  толщ 30*30 см</v>
          </cell>
          <cell r="D69">
            <v>6932.25</v>
          </cell>
        </row>
        <row r="70">
          <cell r="A70" t="str">
            <v>Лимонная кислота</v>
          </cell>
          <cell r="D70">
            <v>80</v>
          </cell>
        </row>
        <row r="71">
          <cell r="A71" t="str">
            <v>Электричество</v>
          </cell>
          <cell r="D71">
            <v>1</v>
          </cell>
        </row>
        <row r="72">
          <cell r="A72" t="str">
            <v>Зефирные фигурки</v>
          </cell>
          <cell r="D72">
            <v>1000</v>
          </cell>
        </row>
        <row r="73">
          <cell r="A73" t="str">
            <v>Палочки для мороженного</v>
          </cell>
          <cell r="D73">
            <v>50</v>
          </cell>
        </row>
        <row r="74">
          <cell r="A74" t="str">
            <v>Упаковочная бумага цвет</v>
          </cell>
          <cell r="D74">
            <v>100</v>
          </cell>
        </row>
        <row r="75">
          <cell r="A75" t="str">
            <v>Топер</v>
          </cell>
          <cell r="D75">
            <v>1</v>
          </cell>
        </row>
        <row r="76">
          <cell r="A76" t="str">
            <v>Кофе растворимый</v>
          </cell>
          <cell r="D76">
            <v>1180</v>
          </cell>
        </row>
        <row r="77">
          <cell r="A77" t="str">
            <v>Банан кг (120-150гр)</v>
          </cell>
          <cell r="D77">
            <v>1000</v>
          </cell>
        </row>
        <row r="78">
          <cell r="A78" t="str">
            <v>Паста дес. ванильная</v>
          </cell>
          <cell r="D78">
            <v>125</v>
          </cell>
        </row>
        <row r="79">
          <cell r="A79" t="str">
            <v>Желе сухое фруктовое</v>
          </cell>
          <cell r="D79">
            <v>41</v>
          </cell>
        </row>
        <row r="80">
          <cell r="A80" t="str">
            <v>Паста дес. банан</v>
          </cell>
          <cell r="D80">
            <v>125</v>
          </cell>
        </row>
        <row r="81">
          <cell r="A81" t="str">
            <v>Паста дес. клубника</v>
          </cell>
          <cell r="D81">
            <v>125</v>
          </cell>
        </row>
        <row r="82">
          <cell r="A82" t="str">
            <v>Паста дес. манго</v>
          </cell>
          <cell r="D82">
            <v>125</v>
          </cell>
        </row>
        <row r="83">
          <cell r="A83" t="str">
            <v>Паста дес. апельсин</v>
          </cell>
          <cell r="D83">
            <v>125</v>
          </cell>
        </row>
        <row r="84">
          <cell r="A84" t="str">
            <v>Паста дес. мандарин</v>
          </cell>
          <cell r="D84">
            <v>125</v>
          </cell>
        </row>
        <row r="85">
          <cell r="A85" t="str">
            <v>Паста дес. маракуйя</v>
          </cell>
          <cell r="D85">
            <v>125</v>
          </cell>
        </row>
        <row r="86">
          <cell r="A86" t="str">
            <v>Паста дес. фисташка</v>
          </cell>
          <cell r="D86">
            <v>1000</v>
          </cell>
        </row>
        <row r="87">
          <cell r="A87" t="str">
            <v>Краситель пищевой</v>
          </cell>
          <cell r="D87">
            <v>125</v>
          </cell>
        </row>
        <row r="88">
          <cell r="A88" t="str">
            <v xml:space="preserve">Печенье бисквитное </v>
          </cell>
          <cell r="D88">
            <v>300</v>
          </cell>
        </row>
        <row r="89">
          <cell r="A89" t="str">
            <v>Орех фундук</v>
          </cell>
          <cell r="D89">
            <v>100</v>
          </cell>
        </row>
        <row r="90">
          <cell r="A90" t="str">
            <v>Орех кешью</v>
          </cell>
          <cell r="D90">
            <v>100</v>
          </cell>
        </row>
        <row r="91">
          <cell r="A91" t="str">
            <v>Орех миндаль</v>
          </cell>
          <cell r="D91">
            <v>100</v>
          </cell>
        </row>
        <row r="92">
          <cell r="A92" t="str">
            <v>Орех грецкий</v>
          </cell>
          <cell r="D92">
            <v>1000</v>
          </cell>
        </row>
        <row r="93">
          <cell r="A93" t="str">
            <v>Орех арахис</v>
          </cell>
          <cell r="D93">
            <v>1</v>
          </cell>
        </row>
        <row r="94">
          <cell r="A94" t="str">
            <v>Кефир</v>
          </cell>
          <cell r="D94">
            <v>900</v>
          </cell>
        </row>
        <row r="95">
          <cell r="A95" t="str">
            <v>Сода пищевая</v>
          </cell>
          <cell r="D95">
            <v>500</v>
          </cell>
        </row>
        <row r="96">
          <cell r="A96" t="str">
            <v xml:space="preserve">Шарики рисовые в глазури </v>
          </cell>
          <cell r="D96">
            <v>1</v>
          </cell>
        </row>
        <row r="97">
          <cell r="A97" t="str">
            <v>Банан шт</v>
          </cell>
          <cell r="D97">
            <v>1</v>
          </cell>
        </row>
        <row r="98">
          <cell r="A98" t="str">
            <v>Сметана (25-35%)</v>
          </cell>
          <cell r="D98">
            <v>500</v>
          </cell>
        </row>
        <row r="99">
          <cell r="A99" t="str">
            <v>Дрожжи</v>
          </cell>
          <cell r="D99">
            <v>11</v>
          </cell>
        </row>
        <row r="100">
          <cell r="A100" t="str">
            <v>Цукаты</v>
          </cell>
          <cell r="D100">
            <v>200</v>
          </cell>
        </row>
        <row r="101">
          <cell r="A101" t="str">
            <v>Посыпка кондитерская</v>
          </cell>
          <cell r="D101">
            <v>170</v>
          </cell>
        </row>
        <row r="102">
          <cell r="A102" t="str">
            <v>Форма пасх диам 90 выс 90</v>
          </cell>
          <cell r="D102">
            <v>4</v>
          </cell>
        </row>
        <row r="103">
          <cell r="A103" t="str">
            <v>Форма пасх диам 124 выс 90</v>
          </cell>
          <cell r="D103">
            <v>4</v>
          </cell>
        </row>
        <row r="104">
          <cell r="A104" t="str">
            <v>Ленты</v>
          </cell>
          <cell r="D104">
            <v>1</v>
          </cell>
        </row>
        <row r="105">
          <cell r="A105" t="str">
            <v>БЗК</v>
          </cell>
          <cell r="D105">
            <v>1000</v>
          </cell>
        </row>
        <row r="106">
          <cell r="A106" t="str">
            <v>Изюм</v>
          </cell>
          <cell r="D106">
            <v>1000</v>
          </cell>
        </row>
        <row r="107">
          <cell r="A107" t="str">
            <v>Сушеные ягоды</v>
          </cell>
          <cell r="D107">
            <v>1</v>
          </cell>
        </row>
        <row r="108">
          <cell r="A108" t="str">
            <v>Пасхольные зефирный веночек</v>
          </cell>
          <cell r="D108">
            <v>1</v>
          </cell>
        </row>
        <row r="109">
          <cell r="A109" t="str">
            <v>Пасхальная выпечка форма 90*90 на 260 грамм</v>
          </cell>
          <cell r="D109">
            <v>1</v>
          </cell>
        </row>
        <row r="110">
          <cell r="A110" t="str">
            <v>Пасхальная выпечка форма 124 *90 на 400 грамм</v>
          </cell>
          <cell r="D110">
            <v>1</v>
          </cell>
        </row>
        <row r="111">
          <cell r="A111" t="str">
            <v>Пасхальная выпечка форма 110 *85 на 330 грамм</v>
          </cell>
          <cell r="D111">
            <v>1</v>
          </cell>
        </row>
        <row r="112">
          <cell r="A112" t="str">
            <v>Пасхальная выпечка форма 134 *110 на 520 грамм</v>
          </cell>
          <cell r="D112">
            <v>1</v>
          </cell>
        </row>
        <row r="113">
          <cell r="A113" t="str">
            <v>Пасхальная выпечка форма 154 *112 на 710 грамм</v>
          </cell>
          <cell r="D113">
            <v>1</v>
          </cell>
        </row>
        <row r="114">
          <cell r="A114" t="str">
            <v>Сушеный персик</v>
          </cell>
          <cell r="D114">
            <v>1000</v>
          </cell>
        </row>
        <row r="115">
          <cell r="A115" t="str">
            <v>Пасхальная выпечка форма 125*110 на 360 грамм</v>
          </cell>
          <cell r="D115">
            <v>1</v>
          </cell>
        </row>
        <row r="116">
          <cell r="A116" t="str">
            <v>Пасхальная выпечка форма 145*115 на 560 грамм</v>
          </cell>
          <cell r="D116">
            <v>1</v>
          </cell>
        </row>
        <row r="117">
          <cell r="A117" t="str">
            <v>Пасхальные зефирные яйца</v>
          </cell>
          <cell r="D117">
            <v>1</v>
          </cell>
        </row>
        <row r="118">
          <cell r="A118" t="str">
            <v>Пасхальные зефирные гнезда</v>
          </cell>
          <cell r="D118">
            <v>1</v>
          </cell>
        </row>
        <row r="119">
          <cell r="A119" t="str">
            <v>Пасхальные зефирные цветы (100 гр)</v>
          </cell>
          <cell r="D119">
            <v>1</v>
          </cell>
        </row>
        <row r="120">
          <cell r="A120" t="str">
            <v xml:space="preserve">Творожный сыр </v>
          </cell>
          <cell r="D120">
            <v>250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61B0-3CA3-4006-AE18-592274386B25}">
  <sheetPr>
    <tabColor theme="5" tint="-0.499984740745262"/>
    <pageSetUpPr fitToPage="1"/>
  </sheetPr>
  <dimension ref="A1:W28"/>
  <sheetViews>
    <sheetView tabSelected="1" zoomScale="85" zoomScaleNormal="85" workbookViewId="0">
      <selection activeCell="Z15" sqref="Z15"/>
    </sheetView>
  </sheetViews>
  <sheetFormatPr defaultRowHeight="15" customHeight="1" x14ac:dyDescent="0.3"/>
  <cols>
    <col min="1" max="1" width="2.77734375" style="3" customWidth="1"/>
    <col min="2" max="2" width="21.88671875" style="32" customWidth="1"/>
    <col min="3" max="3" width="5.88671875" style="3" customWidth="1"/>
    <col min="4" max="4" width="0.88671875" customWidth="1"/>
    <col min="5" max="5" width="2.77734375" style="3" customWidth="1"/>
    <col min="6" max="6" width="21.88671875" style="3" customWidth="1"/>
    <col min="7" max="7" width="5.88671875" style="3" customWidth="1"/>
    <col min="8" max="8" width="0.88671875" customWidth="1"/>
    <col min="9" max="9" width="2.77734375" style="3" customWidth="1"/>
    <col min="10" max="10" width="21.88671875" style="3" customWidth="1"/>
    <col min="11" max="11" width="5.88671875" style="3" customWidth="1"/>
    <col min="12" max="12" width="0.88671875" customWidth="1"/>
    <col min="13" max="13" width="2.77734375" style="3" customWidth="1"/>
    <col min="14" max="14" width="21.88671875" style="3" customWidth="1"/>
    <col min="15" max="15" width="5.88671875" style="3" customWidth="1"/>
    <col min="16" max="16" width="0.88671875" customWidth="1"/>
    <col min="17" max="17" width="2.77734375" style="3" customWidth="1"/>
    <col min="18" max="18" width="21.88671875" style="3" customWidth="1"/>
    <col min="19" max="19" width="5.88671875" style="3" customWidth="1"/>
    <col min="20" max="20" width="0.88671875" customWidth="1"/>
    <col min="21" max="21" width="2.77734375" customWidth="1"/>
    <col min="22" max="22" width="21.88671875" customWidth="1"/>
    <col min="23" max="23" width="5.88671875" customWidth="1"/>
  </cols>
  <sheetData>
    <row r="1" spans="1:23" ht="20.399999999999999" customHeight="1" x14ac:dyDescent="0.3">
      <c r="A1" s="66"/>
      <c r="B1" s="106" t="s">
        <v>44</v>
      </c>
      <c r="C1" s="107"/>
      <c r="D1" s="108"/>
      <c r="E1" s="96" t="s">
        <v>45</v>
      </c>
      <c r="F1" s="97"/>
      <c r="G1" s="97"/>
      <c r="H1" s="98"/>
      <c r="I1" s="10">
        <f>B2/L1</f>
        <v>1.0004349717268377</v>
      </c>
      <c r="J1" s="3" t="s">
        <v>9</v>
      </c>
      <c r="K1" s="33">
        <v>1</v>
      </c>
      <c r="L1" s="8">
        <f>((('1'!F2+'2'!F2+'3'!F2+'4'!F2+'5'!F2+'6'!F2)))</f>
        <v>2299</v>
      </c>
      <c r="M1" s="109" t="s">
        <v>10</v>
      </c>
      <c r="N1" s="110"/>
      <c r="O1" s="110"/>
      <c r="P1" s="110"/>
      <c r="Q1" s="110"/>
      <c r="R1" s="73">
        <v>22</v>
      </c>
      <c r="S1" s="53">
        <f>IFERROR((R2*L2),"")/K1*0.47</f>
        <v>10.348997171643171</v>
      </c>
      <c r="T1" s="38" t="s">
        <v>7</v>
      </c>
      <c r="U1" s="39"/>
      <c r="V1" s="75" t="s">
        <v>15</v>
      </c>
      <c r="W1" s="76">
        <f>U4*B2</f>
        <v>81.777777777777644</v>
      </c>
    </row>
    <row r="2" spans="1:23" ht="20.399999999999999" customHeight="1" x14ac:dyDescent="0.4">
      <c r="A2" s="66"/>
      <c r="B2" s="99">
        <v>2300</v>
      </c>
      <c r="C2" s="100"/>
      <c r="D2" s="68"/>
      <c r="E2" s="69"/>
      <c r="F2" s="70">
        <f>'Расчет с_стоим'!C3</f>
        <v>2589.1172061664488</v>
      </c>
      <c r="G2" s="71"/>
      <c r="H2" s="72"/>
      <c r="L2" s="9">
        <f>B2/L1</f>
        <v>1.0004349717268377</v>
      </c>
      <c r="M2" s="101" t="s">
        <v>5</v>
      </c>
      <c r="N2" s="102"/>
      <c r="O2" s="102"/>
      <c r="P2" s="102"/>
      <c r="Q2" s="102"/>
      <c r="R2" s="74">
        <f>IFERROR((R1*L2),"")</f>
        <v>22.009569377990431</v>
      </c>
      <c r="S2" s="53">
        <f>IFERROR((R2*L2),"")/K1*0.33</f>
        <v>7.266317163068611</v>
      </c>
      <c r="T2" s="38" t="s">
        <v>8</v>
      </c>
      <c r="U2" s="39"/>
      <c r="V2" s="77" t="s">
        <v>19</v>
      </c>
      <c r="W2" s="78">
        <f>W1*2.143</f>
        <v>175.24977777777747</v>
      </c>
    </row>
    <row r="3" spans="1:23" ht="20.399999999999999" customHeight="1" x14ac:dyDescent="0.3">
      <c r="A3" s="105" t="s">
        <v>77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67"/>
      <c r="M3" s="103" t="s">
        <v>6</v>
      </c>
      <c r="N3" s="104"/>
      <c r="O3" s="104"/>
      <c r="P3" s="104"/>
      <c r="Q3" s="104"/>
      <c r="R3" s="82">
        <f>B2*0.008558882352</f>
        <v>19.685429409600001</v>
      </c>
      <c r="S3" s="53">
        <f>IFERROR((R2*L2),"")/K1*0.2</f>
        <v>4.4038285836779458</v>
      </c>
      <c r="T3" s="38" t="s">
        <v>21</v>
      </c>
      <c r="V3" s="79" t="s">
        <v>20</v>
      </c>
      <c r="W3" s="78">
        <f>W2*0.24</f>
        <v>42.05994666666659</v>
      </c>
    </row>
    <row r="4" spans="1:23" ht="15" customHeight="1" thickBot="1" x14ac:dyDescent="0.35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83"/>
      <c r="N4" s="84" t="s">
        <v>14</v>
      </c>
      <c r="O4" s="84">
        <f>P4*B2</f>
        <v>59.8</v>
      </c>
      <c r="P4" s="85">
        <v>2.5999999999999999E-2</v>
      </c>
      <c r="Q4" s="84" t="s">
        <v>46</v>
      </c>
      <c r="R4" s="86" t="s">
        <v>13</v>
      </c>
      <c r="S4" s="87">
        <f>O4/2</f>
        <v>29.9</v>
      </c>
      <c r="T4" s="36"/>
      <c r="U4" s="37">
        <v>3.55555555555555E-2</v>
      </c>
      <c r="V4" s="80" t="s">
        <v>22</v>
      </c>
      <c r="W4" s="81">
        <f>W2*0.013</f>
        <v>2.2782471111111069</v>
      </c>
    </row>
    <row r="5" spans="1:23" s="13" customFormat="1" ht="12.6" customHeight="1" x14ac:dyDescent="0.3">
      <c r="A5" s="11"/>
      <c r="B5" s="11" t="s">
        <v>7</v>
      </c>
      <c r="C5" s="12">
        <f>C8/R2*S1</f>
        <v>463.823236874553</v>
      </c>
      <c r="D5" s="11"/>
      <c r="E5" s="11"/>
      <c r="F5" s="11" t="s">
        <v>7</v>
      </c>
      <c r="G5" s="12">
        <f>G8/R2*S1</f>
        <v>241.79020664657224</v>
      </c>
      <c r="H5" s="11"/>
      <c r="I5" s="11"/>
      <c r="J5" s="11" t="s">
        <v>7</v>
      </c>
      <c r="K5" s="12">
        <f>K8/R2*S1</f>
        <v>279.89333259671298</v>
      </c>
      <c r="L5" s="11"/>
      <c r="M5" s="11"/>
      <c r="N5" s="11" t="s">
        <v>7</v>
      </c>
      <c r="O5" s="12">
        <f>O8/R2*S1</f>
        <v>63.975618879248685</v>
      </c>
      <c r="Q5" s="14"/>
      <c r="R5" s="11" t="s">
        <v>7</v>
      </c>
      <c r="S5" s="12">
        <f>S8/R2*S1</f>
        <v>31.987809439624343</v>
      </c>
      <c r="T5" s="15"/>
      <c r="U5" s="15"/>
      <c r="V5" s="11" t="s">
        <v>7</v>
      </c>
      <c r="W5" s="12">
        <f>W8/R2*S1</f>
        <v>0</v>
      </c>
    </row>
    <row r="6" spans="1:23" s="13" customFormat="1" ht="12.6" customHeight="1" x14ac:dyDescent="0.3">
      <c r="A6" s="16"/>
      <c r="B6" s="11" t="s">
        <v>8</v>
      </c>
      <c r="C6" s="12">
        <f>C8/R2*S2</f>
        <v>325.66312376298407</v>
      </c>
      <c r="D6" s="16"/>
      <c r="E6" s="16"/>
      <c r="F6" s="11" t="s">
        <v>8</v>
      </c>
      <c r="G6" s="12">
        <f>G8/R2*S2</f>
        <v>169.76759190078479</v>
      </c>
      <c r="H6" s="16"/>
      <c r="I6" s="16"/>
      <c r="J6" s="11" t="s">
        <v>8</v>
      </c>
      <c r="K6" s="12">
        <f>K8/R2*S2</f>
        <v>196.52085054662831</v>
      </c>
      <c r="L6" s="17"/>
      <c r="M6" s="17"/>
      <c r="N6" s="11" t="s">
        <v>8</v>
      </c>
      <c r="O6" s="12">
        <f>O8/R2*S2</f>
        <v>44.91905155351504</v>
      </c>
      <c r="P6" s="17"/>
      <c r="Q6" s="17"/>
      <c r="R6" s="11" t="s">
        <v>8</v>
      </c>
      <c r="S6" s="12">
        <f>S8/R2*S2</f>
        <v>22.45952577675752</v>
      </c>
      <c r="T6" s="17"/>
      <c r="U6" s="17"/>
      <c r="V6" s="11" t="s">
        <v>8</v>
      </c>
      <c r="W6" s="12">
        <f>W8/R2*S1</f>
        <v>0</v>
      </c>
    </row>
    <row r="7" spans="1:23" s="16" customFormat="1" ht="12.6" customHeight="1" thickBot="1" x14ac:dyDescent="0.35">
      <c r="B7" s="16" t="s">
        <v>21</v>
      </c>
      <c r="C7" s="12">
        <f>C8/R2*S3</f>
        <v>197.37159015938428</v>
      </c>
      <c r="F7" s="16" t="s">
        <v>21</v>
      </c>
      <c r="G7" s="12">
        <f>G8/R2*S3</f>
        <v>102.88944963683926</v>
      </c>
      <c r="J7" s="16" t="s">
        <v>21</v>
      </c>
      <c r="K7" s="12">
        <f>K8/R2*S3</f>
        <v>119.10354578583532</v>
      </c>
      <c r="N7" s="16" t="s">
        <v>21</v>
      </c>
      <c r="O7" s="12">
        <f>O8/R2*S3</f>
        <v>27.223667608190933</v>
      </c>
      <c r="R7" s="16" t="s">
        <v>21</v>
      </c>
      <c r="S7" s="12">
        <f>S8/R2*S3</f>
        <v>13.611833804095467</v>
      </c>
      <c r="V7" s="16" t="s">
        <v>21</v>
      </c>
      <c r="W7" s="12">
        <f>W8/R2*S3</f>
        <v>0</v>
      </c>
    </row>
    <row r="8" spans="1:23" s="21" customFormat="1" ht="15" customHeight="1" x14ac:dyDescent="0.3">
      <c r="A8" s="18">
        <v>1</v>
      </c>
      <c r="B8" s="19" t="str">
        <f>'1'!A1</f>
        <v>Фисташкоый бисквит</v>
      </c>
      <c r="C8" s="20">
        <f>'1'!E2</f>
        <v>986.42888212266189</v>
      </c>
      <c r="E8" s="18">
        <v>2</v>
      </c>
      <c r="F8" s="19" t="str">
        <f>'2'!A1</f>
        <v>Сливочный крем</v>
      </c>
      <c r="G8" s="22">
        <f>'2'!E2</f>
        <v>514.22357546759451</v>
      </c>
      <c r="I8" s="18">
        <v>3</v>
      </c>
      <c r="J8" s="19" t="str">
        <f>'3'!A1</f>
        <v>Банановый мусс</v>
      </c>
      <c r="K8" s="22">
        <f>'3'!E2</f>
        <v>595.25880817746838</v>
      </c>
      <c r="M8" s="18">
        <v>4</v>
      </c>
      <c r="N8" s="19" t="str">
        <f>'4'!A1</f>
        <v xml:space="preserve">Изоляционный крем </v>
      </c>
      <c r="O8" s="22">
        <f>'4'!E2</f>
        <v>136.05915615484992</v>
      </c>
      <c r="Q8" s="18">
        <v>5</v>
      </c>
      <c r="R8" s="19" t="str">
        <f>'5'!A1</f>
        <v>Пропитка</v>
      </c>
      <c r="S8" s="22">
        <f>'5'!E2</f>
        <v>68.029578077424958</v>
      </c>
      <c r="U8" s="18">
        <v>6</v>
      </c>
      <c r="V8" s="19" t="str">
        <f>'6'!A1</f>
        <v>Составляющая</v>
      </c>
      <c r="W8" s="22">
        <f>'6'!E2</f>
        <v>0</v>
      </c>
    </row>
    <row r="9" spans="1:23" s="26" customFormat="1" ht="15" customHeight="1" x14ac:dyDescent="0.3">
      <c r="A9" s="23" t="s">
        <v>2</v>
      </c>
      <c r="B9" s="24" t="str">
        <f>'1'!G3</f>
        <v>продукт</v>
      </c>
      <c r="C9" s="25" t="str">
        <f>'1'!E3</f>
        <v>Грамм</v>
      </c>
      <c r="E9" s="23" t="s">
        <v>2</v>
      </c>
      <c r="F9" s="24" t="s">
        <v>1</v>
      </c>
      <c r="G9" s="25" t="s">
        <v>0</v>
      </c>
      <c r="I9" s="23" t="s">
        <v>2</v>
      </c>
      <c r="J9" s="24" t="s">
        <v>1</v>
      </c>
      <c r="K9" s="25" t="s">
        <v>0</v>
      </c>
      <c r="M9" s="23" t="s">
        <v>2</v>
      </c>
      <c r="N9" s="24" t="s">
        <v>1</v>
      </c>
      <c r="O9" s="25" t="s">
        <v>0</v>
      </c>
      <c r="Q9" s="23" t="s">
        <v>2</v>
      </c>
      <c r="R9" s="24" t="s">
        <v>1</v>
      </c>
      <c r="S9" s="25" t="s">
        <v>0</v>
      </c>
      <c r="U9" s="23" t="s">
        <v>2</v>
      </c>
      <c r="V9" s="24" t="s">
        <v>1</v>
      </c>
      <c r="W9" s="25" t="s">
        <v>0</v>
      </c>
    </row>
    <row r="10" spans="1:23" s="30" customFormat="1" ht="15" customHeight="1" x14ac:dyDescent="0.3">
      <c r="A10" s="27">
        <v>1</v>
      </c>
      <c r="B10" s="28" t="str">
        <f>'1'!G4</f>
        <v>Желток (17 г от 1 яйца)</v>
      </c>
      <c r="C10" s="29">
        <f>'1'!E4</f>
        <v>353.1535450195737</v>
      </c>
      <c r="E10" s="27">
        <v>1</v>
      </c>
      <c r="F10" s="28" t="str">
        <f>'2'!G4</f>
        <v>Сливки 33 – 35%</v>
      </c>
      <c r="G10" s="31">
        <f>'2'!E4</f>
        <v>211.09177903436276</v>
      </c>
      <c r="I10" s="27">
        <v>1</v>
      </c>
      <c r="J10" s="28" t="str">
        <f>'3'!G4</f>
        <v>Сливки 33 – 35%</v>
      </c>
      <c r="K10" s="31">
        <f>'3'!E4</f>
        <v>211.09177903436276</v>
      </c>
      <c r="M10" s="27">
        <v>1</v>
      </c>
      <c r="N10" s="28" t="str">
        <f>'4'!G4</f>
        <v>Молоко сгущенное(380 гр)</v>
      </c>
      <c r="O10" s="31">
        <f>'4'!E4</f>
        <v>68.029578077424958</v>
      </c>
      <c r="Q10" s="27">
        <v>1</v>
      </c>
      <c r="R10" s="28" t="str">
        <f>'5'!G4</f>
        <v>Кипяток</v>
      </c>
      <c r="S10" s="31">
        <f>'5'!E4</f>
        <v>51.022183558068726</v>
      </c>
      <c r="U10" s="27">
        <v>1</v>
      </c>
      <c r="V10" s="28">
        <f>'6'!G4</f>
        <v>0</v>
      </c>
      <c r="W10" s="31">
        <f>'6'!E4</f>
        <v>0</v>
      </c>
    </row>
    <row r="11" spans="1:23" s="30" customFormat="1" ht="15" customHeight="1" x14ac:dyDescent="0.3">
      <c r="A11" s="27">
        <v>2</v>
      </c>
      <c r="B11" s="28" t="str">
        <f>'1'!G5</f>
        <v>Сахар песок</v>
      </c>
      <c r="C11" s="29">
        <f>'1'!E5</f>
        <v>170.07394519356242</v>
      </c>
      <c r="E11" s="27">
        <v>2</v>
      </c>
      <c r="F11" s="28" t="str">
        <f>'2'!G5</f>
        <v>Творожный сыр</v>
      </c>
      <c r="G11" s="31">
        <f>'2'!E5</f>
        <v>211.09177903436276</v>
      </c>
      <c r="I11" s="27">
        <v>2</v>
      </c>
      <c r="J11" s="28" t="str">
        <f>'3'!G5</f>
        <v>Молоко сгущенное(380 гр)</v>
      </c>
      <c r="K11" s="31">
        <f>'3'!E5</f>
        <v>127.05524140930839</v>
      </c>
      <c r="M11" s="27">
        <v>2</v>
      </c>
      <c r="N11" s="28" t="str">
        <f>'4'!G5</f>
        <v>Масло сливочное 82,5%</v>
      </c>
      <c r="O11" s="31">
        <f>'4'!E5</f>
        <v>51.022183558068726</v>
      </c>
      <c r="Q11" s="27">
        <v>2</v>
      </c>
      <c r="R11" s="28" t="str">
        <f>'5'!G5</f>
        <v>Молоко сгущенное(380 гр)</v>
      </c>
      <c r="S11" s="31">
        <f>'5'!E5</f>
        <v>13.00565463244889</v>
      </c>
      <c r="U11" s="27">
        <v>2</v>
      </c>
      <c r="V11" s="28">
        <f>'6'!G5</f>
        <v>0</v>
      </c>
      <c r="W11" s="31">
        <f>'6'!E5</f>
        <v>0</v>
      </c>
    </row>
    <row r="12" spans="1:23" s="30" customFormat="1" ht="15" customHeight="1" x14ac:dyDescent="0.3">
      <c r="A12" s="27">
        <v>3</v>
      </c>
      <c r="B12" s="28" t="str">
        <f>'1'!G6</f>
        <v>Масло подсолнечное</v>
      </c>
      <c r="C12" s="29">
        <f>'1'!E6</f>
        <v>85.036972596781212</v>
      </c>
      <c r="E12" s="27">
        <v>3</v>
      </c>
      <c r="F12" s="28" t="str">
        <f>'2'!G6</f>
        <v>Молоко сгущенное(380 гр)</v>
      </c>
      <c r="G12" s="31">
        <f>'2'!E6</f>
        <v>84.036537625054365</v>
      </c>
      <c r="I12" s="27">
        <v>3</v>
      </c>
      <c r="J12" s="28" t="str">
        <f>'3'!G6</f>
        <v>Банан кг (120-150гр)</v>
      </c>
      <c r="K12" s="31">
        <f>'3'!E6</f>
        <v>245.10656807307524</v>
      </c>
      <c r="M12" s="27">
        <v>3</v>
      </c>
      <c r="N12" s="28" t="str">
        <f>'4'!G6</f>
        <v xml:space="preserve">Шарики рисовые в глазури </v>
      </c>
      <c r="O12" s="31">
        <f>'4'!E6</f>
        <v>17.007394519356239</v>
      </c>
      <c r="Q12" s="27">
        <v>3</v>
      </c>
      <c r="R12" s="28" t="str">
        <f>'5'!G6</f>
        <v>Паста дес. фисташка</v>
      </c>
      <c r="S12" s="31">
        <f>'5'!E6</f>
        <v>4.0017398869073508</v>
      </c>
      <c r="U12" s="27">
        <v>3</v>
      </c>
      <c r="V12" s="28">
        <f>'6'!G6</f>
        <v>0</v>
      </c>
      <c r="W12" s="31">
        <f>'6'!E6</f>
        <v>0</v>
      </c>
    </row>
    <row r="13" spans="1:23" s="30" customFormat="1" ht="15" customHeight="1" x14ac:dyDescent="0.3">
      <c r="A13" s="27">
        <v>4</v>
      </c>
      <c r="B13" s="28" t="str">
        <f>'1'!G7</f>
        <v>Мука пшеничная</v>
      </c>
      <c r="C13" s="29">
        <f>'1'!E7</f>
        <v>325.14136581122227</v>
      </c>
      <c r="E13" s="27">
        <v>4</v>
      </c>
      <c r="F13" s="28" t="str">
        <f>'2'!G7</f>
        <v>Ванильный сахар</v>
      </c>
      <c r="G13" s="31">
        <f>'2'!E7</f>
        <v>8.0034797738147017</v>
      </c>
      <c r="I13" s="27">
        <v>4</v>
      </c>
      <c r="J13" s="28" t="str">
        <f>'3'!G7</f>
        <v>Желатин</v>
      </c>
      <c r="K13" s="31">
        <f>'3'!E7</f>
        <v>8.0034797738147017</v>
      </c>
      <c r="M13" s="27">
        <v>4</v>
      </c>
      <c r="N13" s="28">
        <f>'4'!G7</f>
        <v>0</v>
      </c>
      <c r="O13" s="31">
        <f>'4'!E7</f>
        <v>0</v>
      </c>
      <c r="Q13" s="27">
        <v>4</v>
      </c>
      <c r="R13" s="28">
        <f>'5'!G7</f>
        <v>0</v>
      </c>
      <c r="S13" s="31">
        <f>'5'!E7</f>
        <v>0</v>
      </c>
      <c r="U13" s="27">
        <v>4</v>
      </c>
      <c r="V13" s="28">
        <f>'6'!G7</f>
        <v>0</v>
      </c>
      <c r="W13" s="31">
        <f>'6'!E7</f>
        <v>0</v>
      </c>
    </row>
    <row r="14" spans="1:23" s="30" customFormat="1" ht="15" customHeight="1" x14ac:dyDescent="0.3">
      <c r="A14" s="27">
        <v>5</v>
      </c>
      <c r="B14" s="28" t="str">
        <f>'1'!G8</f>
        <v>Паста дес. фисташка</v>
      </c>
      <c r="C14" s="29">
        <f>'1'!E8</f>
        <v>35.015224010439319</v>
      </c>
      <c r="E14" s="27">
        <v>5</v>
      </c>
      <c r="F14" s="28">
        <f>'2'!G8</f>
        <v>0</v>
      </c>
      <c r="G14" s="31">
        <f>'2'!E8</f>
        <v>0</v>
      </c>
      <c r="I14" s="27">
        <v>5</v>
      </c>
      <c r="J14" s="28" t="str">
        <f>'3'!G8</f>
        <v>Паста дес. банан</v>
      </c>
      <c r="K14" s="31">
        <f>'3'!E8</f>
        <v>4.0017398869073508</v>
      </c>
      <c r="M14" s="27">
        <v>5</v>
      </c>
      <c r="N14" s="28">
        <f>'4'!G8</f>
        <v>0</v>
      </c>
      <c r="O14" s="31">
        <f>'4'!E8</f>
        <v>0</v>
      </c>
      <c r="Q14" s="27">
        <v>5</v>
      </c>
      <c r="R14" s="28">
        <f>'5'!G8</f>
        <v>0</v>
      </c>
      <c r="S14" s="31">
        <f>'5'!E8</f>
        <v>0</v>
      </c>
      <c r="U14" s="27">
        <v>5</v>
      </c>
      <c r="V14" s="28">
        <f>'6'!G8</f>
        <v>0</v>
      </c>
      <c r="W14" s="31">
        <f>'6'!E8</f>
        <v>0</v>
      </c>
    </row>
    <row r="15" spans="1:23" s="30" customFormat="1" ht="15" customHeight="1" x14ac:dyDescent="0.3">
      <c r="A15" s="27">
        <v>6</v>
      </c>
      <c r="B15" s="28" t="str">
        <f>'1'!G9</f>
        <v>Кипяток</v>
      </c>
      <c r="C15" s="29">
        <f>'1'!E9</f>
        <v>85.036972596781212</v>
      </c>
      <c r="E15" s="27">
        <v>6</v>
      </c>
      <c r="F15" s="28">
        <f>'2'!G9</f>
        <v>0</v>
      </c>
      <c r="G15" s="31">
        <f>'2'!E9</f>
        <v>0</v>
      </c>
      <c r="I15" s="27">
        <v>6</v>
      </c>
      <c r="J15" s="28">
        <f>'3'!G9</f>
        <v>0</v>
      </c>
      <c r="K15" s="31">
        <f>'3'!E9</f>
        <v>0</v>
      </c>
      <c r="M15" s="27">
        <v>6</v>
      </c>
      <c r="N15" s="28">
        <f>'4'!G9</f>
        <v>0</v>
      </c>
      <c r="O15" s="31">
        <f>'4'!E9</f>
        <v>0</v>
      </c>
      <c r="Q15" s="27">
        <v>6</v>
      </c>
      <c r="R15" s="28">
        <f>'5'!G9</f>
        <v>0</v>
      </c>
      <c r="S15" s="31">
        <f>'5'!E9</f>
        <v>0</v>
      </c>
      <c r="U15" s="27">
        <v>6</v>
      </c>
      <c r="V15" s="28">
        <f>'6'!G9</f>
        <v>0</v>
      </c>
      <c r="W15" s="31">
        <f>'6'!E9</f>
        <v>0</v>
      </c>
    </row>
    <row r="16" spans="1:23" s="30" customFormat="1" ht="15" customHeight="1" x14ac:dyDescent="0.3">
      <c r="A16" s="27">
        <v>7</v>
      </c>
      <c r="B16" s="28" t="str">
        <f>'1'!G10</f>
        <v>Разрыхлитель</v>
      </c>
      <c r="C16" s="29">
        <f>'1'!E10</f>
        <v>14.006089604175727</v>
      </c>
      <c r="E16" s="27">
        <v>7</v>
      </c>
      <c r="F16" s="28">
        <f>'2'!G10</f>
        <v>0</v>
      </c>
      <c r="G16" s="31">
        <f>'2'!E10</f>
        <v>0</v>
      </c>
      <c r="I16" s="27">
        <v>7</v>
      </c>
      <c r="J16" s="28">
        <f>'3'!G10</f>
        <v>0</v>
      </c>
      <c r="K16" s="31">
        <f>'3'!E10</f>
        <v>0</v>
      </c>
      <c r="M16" s="27">
        <v>7</v>
      </c>
      <c r="N16" s="28">
        <f>'4'!G10</f>
        <v>0</v>
      </c>
      <c r="O16" s="31">
        <f>'4'!E10</f>
        <v>0</v>
      </c>
      <c r="Q16" s="27">
        <v>7</v>
      </c>
      <c r="R16" s="28">
        <f>'5'!G10</f>
        <v>0</v>
      </c>
      <c r="S16" s="31">
        <f>'5'!E10</f>
        <v>0</v>
      </c>
      <c r="U16" s="27">
        <v>7</v>
      </c>
      <c r="V16" s="28">
        <f>'6'!G10</f>
        <v>0</v>
      </c>
      <c r="W16" s="31">
        <f>'6'!E10</f>
        <v>0</v>
      </c>
    </row>
    <row r="17" spans="1:23" s="30" customFormat="1" ht="15" customHeight="1" x14ac:dyDescent="0.3">
      <c r="A17" s="27">
        <v>8</v>
      </c>
      <c r="B17" s="28" t="str">
        <f>'1'!G11</f>
        <v>Лимонная кислота</v>
      </c>
      <c r="C17" s="29">
        <f>'1'!E11</f>
        <v>2.0008699434536754</v>
      </c>
      <c r="E17" s="27">
        <v>8</v>
      </c>
      <c r="F17" s="28">
        <f>'2'!G11</f>
        <v>0</v>
      </c>
      <c r="G17" s="31">
        <f>'2'!E11</f>
        <v>0</v>
      </c>
      <c r="I17" s="27">
        <v>8</v>
      </c>
      <c r="J17" s="28">
        <f>'3'!G11</f>
        <v>0</v>
      </c>
      <c r="K17" s="31">
        <f>'3'!E11</f>
        <v>0</v>
      </c>
      <c r="M17" s="27">
        <v>8</v>
      </c>
      <c r="N17" s="28">
        <f>'4'!G11</f>
        <v>0</v>
      </c>
      <c r="O17" s="31">
        <f>'4'!E11</f>
        <v>0</v>
      </c>
      <c r="Q17" s="27">
        <v>8</v>
      </c>
      <c r="R17" s="28">
        <f>'5'!G11</f>
        <v>0</v>
      </c>
      <c r="S17" s="31">
        <f>'5'!E11</f>
        <v>0</v>
      </c>
      <c r="U17" s="27">
        <v>8</v>
      </c>
      <c r="V17" s="28">
        <f>'6'!G11</f>
        <v>0</v>
      </c>
      <c r="W17" s="31">
        <f>'6'!E11</f>
        <v>0</v>
      </c>
    </row>
    <row r="18" spans="1:23" s="30" customFormat="1" ht="15" customHeight="1" x14ac:dyDescent="0.3">
      <c r="A18" s="27">
        <v>9</v>
      </c>
      <c r="B18" s="28" t="str">
        <f>'1'!G12</f>
        <v>Соль</v>
      </c>
      <c r="C18" s="29">
        <f>'1'!E12</f>
        <v>2.0008699434536754</v>
      </c>
      <c r="E18" s="27">
        <v>9</v>
      </c>
      <c r="F18" s="28">
        <f>'2'!G12</f>
        <v>0</v>
      </c>
      <c r="G18" s="31">
        <f>'2'!E12</f>
        <v>0</v>
      </c>
      <c r="I18" s="27">
        <v>9</v>
      </c>
      <c r="J18" s="28">
        <f>'3'!G12</f>
        <v>0</v>
      </c>
      <c r="K18" s="31">
        <f>'3'!E12</f>
        <v>0</v>
      </c>
      <c r="M18" s="27">
        <v>9</v>
      </c>
      <c r="N18" s="28">
        <f>'4'!G12</f>
        <v>0</v>
      </c>
      <c r="O18" s="31">
        <f>'4'!E12</f>
        <v>0</v>
      </c>
      <c r="Q18" s="27">
        <v>9</v>
      </c>
      <c r="R18" s="28">
        <f>'5'!G12</f>
        <v>0</v>
      </c>
      <c r="S18" s="31">
        <f>'5'!E12</f>
        <v>0</v>
      </c>
      <c r="U18" s="27">
        <v>9</v>
      </c>
      <c r="V18" s="28">
        <f>'6'!G12</f>
        <v>0</v>
      </c>
      <c r="W18" s="31">
        <f>'6'!E12</f>
        <v>0</v>
      </c>
    </row>
    <row r="19" spans="1:23" s="30" customFormat="1" ht="15" customHeight="1" x14ac:dyDescent="0.3">
      <c r="A19" s="27">
        <v>10</v>
      </c>
      <c r="B19" s="28">
        <f>'1'!G13</f>
        <v>0</v>
      </c>
      <c r="C19" s="29">
        <f>'1'!E13</f>
        <v>0</v>
      </c>
      <c r="E19" s="27">
        <v>10</v>
      </c>
      <c r="F19" s="28">
        <f>'2'!G13</f>
        <v>0</v>
      </c>
      <c r="G19" s="31">
        <f>'2'!E13</f>
        <v>0</v>
      </c>
      <c r="I19" s="27">
        <v>10</v>
      </c>
      <c r="J19" s="28">
        <f>'3'!G13</f>
        <v>0</v>
      </c>
      <c r="K19" s="31">
        <f>'3'!E13</f>
        <v>0</v>
      </c>
      <c r="M19" s="27">
        <v>10</v>
      </c>
      <c r="N19" s="28">
        <f>'4'!G13</f>
        <v>0</v>
      </c>
      <c r="O19" s="31">
        <f>'4'!E13</f>
        <v>0</v>
      </c>
      <c r="Q19" s="27">
        <v>10</v>
      </c>
      <c r="R19" s="28">
        <f>'5'!G13</f>
        <v>0</v>
      </c>
      <c r="S19" s="31">
        <f>'5'!E13</f>
        <v>0</v>
      </c>
      <c r="U19" s="27">
        <v>10</v>
      </c>
      <c r="V19" s="28">
        <f>'6'!G13</f>
        <v>0</v>
      </c>
      <c r="W19" s="31">
        <f>'6'!E13</f>
        <v>0</v>
      </c>
    </row>
    <row r="20" spans="1:23" s="30" customFormat="1" ht="15" customHeight="1" x14ac:dyDescent="0.3">
      <c r="A20" s="27">
        <v>11</v>
      </c>
      <c r="B20" s="28">
        <f>'1'!G14</f>
        <v>0</v>
      </c>
      <c r="C20" s="29">
        <f>'1'!E14</f>
        <v>0</v>
      </c>
      <c r="E20" s="27">
        <v>11</v>
      </c>
      <c r="F20" s="28">
        <f>'2'!G14</f>
        <v>0</v>
      </c>
      <c r="G20" s="31">
        <f>'2'!E14</f>
        <v>0</v>
      </c>
      <c r="I20" s="27">
        <v>11</v>
      </c>
      <c r="J20" s="28">
        <f>'3'!G14</f>
        <v>0</v>
      </c>
      <c r="K20" s="31">
        <f>'3'!E14</f>
        <v>0</v>
      </c>
      <c r="M20" s="27">
        <v>11</v>
      </c>
      <c r="N20" s="28">
        <f>'4'!G14</f>
        <v>0</v>
      </c>
      <c r="O20" s="31">
        <f>'4'!E14</f>
        <v>0</v>
      </c>
      <c r="Q20" s="27">
        <v>11</v>
      </c>
      <c r="R20" s="28">
        <f>'5'!G14</f>
        <v>0</v>
      </c>
      <c r="S20" s="31">
        <f>'5'!E14</f>
        <v>0</v>
      </c>
      <c r="U20" s="27">
        <v>11</v>
      </c>
      <c r="V20" s="28">
        <f>'6'!G14</f>
        <v>0</v>
      </c>
      <c r="W20" s="31">
        <f>'6'!E14</f>
        <v>0</v>
      </c>
    </row>
    <row r="21" spans="1:23" s="30" customFormat="1" ht="15" customHeight="1" x14ac:dyDescent="0.3">
      <c r="A21" s="27">
        <v>12</v>
      </c>
      <c r="B21" s="28">
        <f>'1'!G15</f>
        <v>0</v>
      </c>
      <c r="C21" s="29">
        <f>'1'!E15</f>
        <v>0</v>
      </c>
      <c r="E21" s="27">
        <v>12</v>
      </c>
      <c r="F21" s="28">
        <f>'2'!G15</f>
        <v>0</v>
      </c>
      <c r="G21" s="31">
        <f>'2'!E15</f>
        <v>0</v>
      </c>
      <c r="I21" s="27">
        <v>12</v>
      </c>
      <c r="J21" s="28">
        <f>'3'!G15</f>
        <v>0</v>
      </c>
      <c r="K21" s="31">
        <f>'3'!E15</f>
        <v>0</v>
      </c>
      <c r="M21" s="27">
        <v>12</v>
      </c>
      <c r="N21" s="28">
        <f>'4'!G15</f>
        <v>0</v>
      </c>
      <c r="O21" s="31">
        <f>'4'!E15</f>
        <v>0</v>
      </c>
      <c r="Q21" s="27">
        <v>12</v>
      </c>
      <c r="R21" s="28">
        <f>'5'!G15</f>
        <v>0</v>
      </c>
      <c r="S21" s="31">
        <f>'5'!E15</f>
        <v>0</v>
      </c>
      <c r="U21" s="27">
        <v>12</v>
      </c>
      <c r="V21" s="28">
        <f>'6'!G15</f>
        <v>0</v>
      </c>
      <c r="W21" s="31">
        <f>'6'!E15</f>
        <v>0</v>
      </c>
    </row>
    <row r="22" spans="1:23" s="30" customFormat="1" ht="15" customHeight="1" x14ac:dyDescent="0.3">
      <c r="A22" s="27">
        <v>13</v>
      </c>
      <c r="B22" s="28">
        <f>'1'!G16</f>
        <v>0</v>
      </c>
      <c r="C22" s="29">
        <f>'1'!E16</f>
        <v>0</v>
      </c>
      <c r="E22" s="27">
        <v>13</v>
      </c>
      <c r="F22" s="28">
        <f>'2'!G16</f>
        <v>0</v>
      </c>
      <c r="G22" s="31">
        <f>'2'!E16</f>
        <v>0</v>
      </c>
      <c r="I22" s="27">
        <v>13</v>
      </c>
      <c r="J22" s="28">
        <f>'3'!G16</f>
        <v>0</v>
      </c>
      <c r="K22" s="31">
        <f>'3'!E16</f>
        <v>0</v>
      </c>
      <c r="M22" s="27">
        <v>13</v>
      </c>
      <c r="N22" s="28">
        <f>'4'!G16</f>
        <v>0</v>
      </c>
      <c r="O22" s="31">
        <f>'4'!E16</f>
        <v>0</v>
      </c>
      <c r="Q22" s="27">
        <v>13</v>
      </c>
      <c r="R22" s="28">
        <f>'5'!G16</f>
        <v>0</v>
      </c>
      <c r="S22" s="31">
        <f>'5'!E16</f>
        <v>0</v>
      </c>
      <c r="U22" s="27">
        <v>13</v>
      </c>
      <c r="V22" s="28">
        <f>'6'!G16</f>
        <v>0</v>
      </c>
      <c r="W22" s="31">
        <f>'6'!E16</f>
        <v>0</v>
      </c>
    </row>
    <row r="23" spans="1:23" s="30" customFormat="1" ht="15" customHeight="1" x14ac:dyDescent="0.3">
      <c r="A23" s="27">
        <v>14</v>
      </c>
      <c r="B23" s="28">
        <f>'1'!G17</f>
        <v>0</v>
      </c>
      <c r="C23" s="29">
        <f>'1'!E17</f>
        <v>0</v>
      </c>
      <c r="E23" s="27">
        <v>14</v>
      </c>
      <c r="F23" s="28">
        <f>'2'!G17</f>
        <v>0</v>
      </c>
      <c r="G23" s="31">
        <f>'2'!E17</f>
        <v>0</v>
      </c>
      <c r="I23" s="27">
        <v>14</v>
      </c>
      <c r="J23" s="28">
        <f>'3'!G17</f>
        <v>0</v>
      </c>
      <c r="K23" s="31">
        <f>'3'!E17</f>
        <v>0</v>
      </c>
      <c r="M23" s="27">
        <v>14</v>
      </c>
      <c r="N23" s="28">
        <f>'4'!G17</f>
        <v>0</v>
      </c>
      <c r="O23" s="31">
        <f>'4'!E17</f>
        <v>0</v>
      </c>
      <c r="Q23" s="27">
        <v>14</v>
      </c>
      <c r="R23" s="28">
        <f>'5'!G17</f>
        <v>0</v>
      </c>
      <c r="S23" s="31">
        <f>'5'!E17</f>
        <v>0</v>
      </c>
      <c r="U23" s="27">
        <v>14</v>
      </c>
      <c r="V23" s="28">
        <f>'6'!G17</f>
        <v>0</v>
      </c>
      <c r="W23" s="31">
        <f>'6'!E17</f>
        <v>0</v>
      </c>
    </row>
    <row r="24" spans="1:23" s="30" customFormat="1" ht="15" customHeight="1" x14ac:dyDescent="0.3">
      <c r="A24" s="93" t="str">
        <f>'1'!A2</f>
        <v>Технология приготовления:</v>
      </c>
      <c r="B24" s="94"/>
      <c r="C24" s="95"/>
      <c r="E24" s="118" t="str">
        <f>'2'!A2</f>
        <v>Технология приготовления:</v>
      </c>
      <c r="F24" s="119"/>
      <c r="G24" s="120"/>
      <c r="I24" s="93" t="str">
        <f>'3'!A2</f>
        <v>Технология приготовления:</v>
      </c>
      <c r="J24" s="94"/>
      <c r="K24" s="95"/>
      <c r="M24" s="93" t="str">
        <f>'4'!A2</f>
        <v>Технология приготовления:</v>
      </c>
      <c r="N24" s="94"/>
      <c r="O24" s="95"/>
      <c r="Q24" s="93" t="str">
        <f>'5'!A2</f>
        <v>Технология приготовления:</v>
      </c>
      <c r="R24" s="94"/>
      <c r="S24" s="95"/>
      <c r="U24" s="93" t="str">
        <f>'6'!A2</f>
        <v>Технология приготовления:</v>
      </c>
      <c r="V24" s="94"/>
      <c r="W24" s="95"/>
    </row>
    <row r="25" spans="1:23" s="88" customFormat="1" ht="255" customHeight="1" thickBot="1" x14ac:dyDescent="0.35">
      <c r="A25" s="115" t="str">
        <f>'1'!A3</f>
        <v>Просеять муку, добавить соль, разрыхлитель, лимонку. Все перемешать
В чаше миксера соединить сахар и яйца. Взбивать до белой пены не менее 10 минут.
Тем временем вскипятить воду. Соединить пасту с маслом.
Когда яичная смесь взобьется добавить пасту с маслом, перемешать. Добавить кипяток и муку. Аккуратно перемешать.
Для обычного торта делим на 2 и разливаем по формам.
Выпекаем 180 градусов. Без конвекции до сухой лучины. Примерно 40 минут.</v>
      </c>
      <c r="B25" s="116"/>
      <c r="C25" s="117"/>
      <c r="E25" s="115" t="str">
        <f>'2'!A3</f>
        <v>Перед взбиванием дежу миксера желательно охладить 10 минут в холодильник. Все соединить, взбить до устойчивых пиков.</v>
      </c>
      <c r="F25" s="116"/>
      <c r="G25" s="117"/>
      <c r="I25" s="115" t="str">
        <f>'3'!A3</f>
        <v>Бананы очистить, порезать на кусочки, проварить в микроволновке до мягкого состояния</v>
      </c>
      <c r="J25" s="116"/>
      <c r="K25" s="117"/>
      <c r="M25" s="115" t="str">
        <f>'4'!A3</f>
        <v>Масло взбить до бела, частями добавлять сгущенку, до полного соединения, немного остудить добавить шарики. Все хорошо промешать, что бы шарики были произолированы и не размокли от других кремов.</v>
      </c>
      <c r="N25" s="116"/>
      <c r="O25" s="117"/>
      <c r="Q25" s="115" t="str">
        <f>'5'!A3</f>
        <v>Сгущенку и пасту размешать  с водой.</v>
      </c>
      <c r="R25" s="116"/>
      <c r="S25" s="117"/>
      <c r="U25" s="115">
        <f>'6'!A3</f>
        <v>0</v>
      </c>
      <c r="V25" s="116"/>
      <c r="W25" s="117"/>
    </row>
    <row r="26" spans="1:23" s="65" customFormat="1" ht="42" customHeight="1" x14ac:dyDescent="0.3">
      <c r="A26" s="114" t="s">
        <v>76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</row>
    <row r="27" spans="1:23" ht="15" customHeight="1" x14ac:dyDescent="0.3">
      <c r="B27" s="113" t="s">
        <v>16</v>
      </c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</row>
    <row r="28" spans="1:23" s="41" customFormat="1" ht="29.4" customHeight="1" x14ac:dyDescent="0.3">
      <c r="A28" s="42"/>
      <c r="B28" s="43" t="str">
        <f>'Расчет с_стоим'!B2</f>
        <v>Продукты</v>
      </c>
      <c r="C28" s="112">
        <f>'Расчет с_стоим'!E3</f>
        <v>0</v>
      </c>
      <c r="D28" s="112"/>
      <c r="E28" s="112"/>
      <c r="F28" s="43" t="str">
        <f>'Расчет с_стоим'!G2</f>
        <v>Инвентарь, упаковка, дополнения к заказу</v>
      </c>
      <c r="G28" s="112">
        <f>'Расчет с_стоим'!J3</f>
        <v>205.3</v>
      </c>
      <c r="H28" s="112"/>
      <c r="I28" s="112"/>
      <c r="J28" s="43" t="str">
        <f>'Расчет с_стоим'!L3</f>
        <v>Доставка</v>
      </c>
      <c r="K28" s="112">
        <f>'Расчет с_стоим'!M3</f>
        <v>0</v>
      </c>
      <c r="L28" s="112"/>
      <c r="M28" s="112"/>
      <c r="O28" s="111" t="s">
        <v>28</v>
      </c>
      <c r="P28" s="111"/>
      <c r="Q28" s="111"/>
      <c r="R28" s="44">
        <f>C28+G28+K28</f>
        <v>205.3</v>
      </c>
      <c r="S28" s="42"/>
    </row>
  </sheetData>
  <sheetProtection selectLockedCells="1"/>
  <dataConsolidate>
    <dataRefs count="7">
      <dataRef ref="B4:C17" sheet="1"/>
      <dataRef ref="C4" sheet="1"/>
      <dataRef ref="B4:C17" sheet="2"/>
      <dataRef ref="B4:C17" sheet="3"/>
      <dataRef ref="B4:C17" sheet="4"/>
      <dataRef ref="B4:C17" sheet="5"/>
      <dataRef ref="B4:C17" sheet="6"/>
    </dataRefs>
  </dataConsolidate>
  <mergeCells count="25">
    <mergeCell ref="U24:W24"/>
    <mergeCell ref="O28:Q28"/>
    <mergeCell ref="C28:E28"/>
    <mergeCell ref="G28:I28"/>
    <mergeCell ref="K28:M28"/>
    <mergeCell ref="B27:N27"/>
    <mergeCell ref="A26:W26"/>
    <mergeCell ref="A25:C25"/>
    <mergeCell ref="E25:G25"/>
    <mergeCell ref="U25:W25"/>
    <mergeCell ref="I25:K25"/>
    <mergeCell ref="M25:O25"/>
    <mergeCell ref="Q25:S25"/>
    <mergeCell ref="A24:C24"/>
    <mergeCell ref="E24:G24"/>
    <mergeCell ref="I24:K24"/>
    <mergeCell ref="Q24:S24"/>
    <mergeCell ref="M24:O24"/>
    <mergeCell ref="E1:H1"/>
    <mergeCell ref="B2:C2"/>
    <mergeCell ref="M2:Q2"/>
    <mergeCell ref="M3:Q3"/>
    <mergeCell ref="A3:K3"/>
    <mergeCell ref="B1:D1"/>
    <mergeCell ref="M1:Q1"/>
  </mergeCells>
  <phoneticPr fontId="12" type="noConversion"/>
  <printOptions horizontalCentered="1" verticalCentered="1"/>
  <pageMargins left="0.23622047244094491" right="0.23622047244094491" top="0.19685039370078741" bottom="0.19685039370078741" header="0" footer="0"/>
  <pageSetup paperSize="9" scale="75" fitToWidth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1593-CF2E-4AE3-BD31-479494B07F06}">
  <sheetPr filterMode="1">
    <tabColor theme="9" tint="-0.249977111117893"/>
    <pageSetUpPr fitToPage="1"/>
  </sheetPr>
  <dimension ref="A1:D113"/>
  <sheetViews>
    <sheetView workbookViewId="0">
      <selection activeCell="D3" sqref="D3"/>
    </sheetView>
  </sheetViews>
  <sheetFormatPr defaultRowHeight="14.4" x14ac:dyDescent="0.3"/>
  <cols>
    <col min="1" max="1" width="4" style="61" customWidth="1"/>
    <col min="2" max="2" width="23.77734375" customWidth="1"/>
    <col min="3" max="3" width="8.88671875" style="26"/>
    <col min="4" max="4" width="13.6640625" customWidth="1"/>
    <col min="6" max="6" width="18.109375" customWidth="1"/>
  </cols>
  <sheetData>
    <row r="1" spans="1:4" s="63" customFormat="1" ht="15" thickBot="1" x14ac:dyDescent="0.35">
      <c r="A1" s="64"/>
      <c r="B1" s="63" t="s">
        <v>11</v>
      </c>
      <c r="C1" s="64" t="s">
        <v>33</v>
      </c>
      <c r="D1" s="26" t="s">
        <v>42</v>
      </c>
    </row>
    <row r="2" spans="1:4" x14ac:dyDescent="0.3">
      <c r="A2" s="121" t="s">
        <v>29</v>
      </c>
      <c r="B2" s="54" t="str">
        <f>Технология!N4</f>
        <v>Шоколада для ганаша</v>
      </c>
      <c r="C2" s="55">
        <f>Технология!O4</f>
        <v>59.8</v>
      </c>
      <c r="D2" s="60"/>
    </row>
    <row r="3" spans="1:4" x14ac:dyDescent="0.3">
      <c r="A3" s="122"/>
      <c r="B3" s="3" t="str">
        <f>Технология!R4</f>
        <v>Масло сливочное 82,5%</v>
      </c>
      <c r="C3" s="56">
        <f>Технология!S4</f>
        <v>29.9</v>
      </c>
      <c r="D3" s="57"/>
    </row>
    <row r="4" spans="1:4" x14ac:dyDescent="0.3">
      <c r="A4" s="122"/>
      <c r="B4" s="3" t="str">
        <f>Технология!V1</f>
        <v>Белок на БЗК гр</v>
      </c>
      <c r="C4" s="56">
        <f>Технология!W1</f>
        <v>81.777777777777644</v>
      </c>
      <c r="D4" s="57"/>
    </row>
    <row r="5" spans="1:4" x14ac:dyDescent="0.3">
      <c r="A5" s="122"/>
      <c r="B5" s="3" t="str">
        <f>Технология!V2</f>
        <v>Сахар</v>
      </c>
      <c r="C5" s="56">
        <f>Технология!W2</f>
        <v>175.24977777777747</v>
      </c>
      <c r="D5" s="57"/>
    </row>
    <row r="6" spans="1:4" x14ac:dyDescent="0.3">
      <c r="A6" s="122"/>
      <c r="B6" s="3" t="str">
        <f>Технология!V3</f>
        <v>Вода</v>
      </c>
      <c r="C6" s="56">
        <f>Технология!W3</f>
        <v>42.05994666666659</v>
      </c>
      <c r="D6" s="57"/>
    </row>
    <row r="7" spans="1:4" ht="15" thickBot="1" x14ac:dyDescent="0.35">
      <c r="A7" s="123"/>
      <c r="B7" s="58" t="str">
        <f>Технология!V4</f>
        <v>Лимонная кислота</v>
      </c>
      <c r="C7" s="62">
        <f>Технология!W4</f>
        <v>2.2782471111111069</v>
      </c>
      <c r="D7" s="59"/>
    </row>
    <row r="8" spans="1:4" x14ac:dyDescent="0.3">
      <c r="A8" s="124" t="s">
        <v>43</v>
      </c>
      <c r="B8" s="54" t="str">
        <f>'Расчет с_стоим'!G4</f>
        <v>Кондитерский мешок</v>
      </c>
      <c r="C8" s="55">
        <f>'Расчет с_стоим'!H4</f>
        <v>0</v>
      </c>
      <c r="D8" s="60"/>
    </row>
    <row r="9" spans="1:4" x14ac:dyDescent="0.3">
      <c r="A9" s="125"/>
      <c r="B9" s="3" t="str">
        <f>'Расчет с_стоим'!G5</f>
        <v>Коробка для торта</v>
      </c>
      <c r="C9" s="56">
        <f>'Расчет с_стоим'!H5</f>
        <v>0</v>
      </c>
      <c r="D9" s="57"/>
    </row>
    <row r="10" spans="1:4" x14ac:dyDescent="0.3">
      <c r="A10" s="125"/>
      <c r="B10" s="3" t="str">
        <f>'Расчет с_стоим'!G6</f>
        <v>Пакет фасовочный 12*14</v>
      </c>
      <c r="C10" s="56">
        <f>'Расчет с_стоим'!H6</f>
        <v>0</v>
      </c>
      <c r="D10" s="57"/>
    </row>
    <row r="11" spans="1:4" x14ac:dyDescent="0.3">
      <c r="A11" s="125"/>
      <c r="B11" s="3" t="str">
        <f>'Расчет с_стоим'!G7</f>
        <v>Подложка 2  толщ 30*30 см</v>
      </c>
      <c r="C11" s="56">
        <f>'Расчет с_стоим'!H7</f>
        <v>0</v>
      </c>
      <c r="D11" s="57"/>
    </row>
    <row r="12" spans="1:4" x14ac:dyDescent="0.3">
      <c r="A12" s="125"/>
      <c r="B12" s="3" t="str">
        <f>'Расчет с_стоим'!G8</f>
        <v>Шпажки маленькие</v>
      </c>
      <c r="C12" s="56">
        <f>'Расчет с_стоим'!H8</f>
        <v>0</v>
      </c>
      <c r="D12" s="57"/>
    </row>
    <row r="13" spans="1:4" x14ac:dyDescent="0.3">
      <c r="A13" s="125"/>
      <c r="B13" s="3" t="str">
        <f>'Расчет с_стоим'!G9</f>
        <v>Электричество</v>
      </c>
      <c r="C13" s="56">
        <f>'Расчет с_стоим'!H9</f>
        <v>10</v>
      </c>
      <c r="D13" s="57"/>
    </row>
    <row r="14" spans="1:4" x14ac:dyDescent="0.3">
      <c r="A14" s="125"/>
      <c r="B14" s="3" t="str">
        <f>'Расчет с_стоим'!G10</f>
        <v>Зефирные фигурки</v>
      </c>
      <c r="C14" s="56">
        <f>'Расчет с_стоим'!H10</f>
        <v>0</v>
      </c>
      <c r="D14" s="57"/>
    </row>
    <row r="15" spans="1:4" x14ac:dyDescent="0.3">
      <c r="A15" s="125"/>
      <c r="B15" s="3" t="str">
        <f>'Расчет с_стоим'!G11</f>
        <v>Палочки для мороженного</v>
      </c>
      <c r="C15" s="56">
        <f>'Расчет с_стоим'!H11</f>
        <v>0</v>
      </c>
      <c r="D15" s="57"/>
    </row>
    <row r="16" spans="1:4" x14ac:dyDescent="0.3">
      <c r="A16" s="125"/>
      <c r="B16" s="3" t="str">
        <f>'Расчет с_стоим'!G12</f>
        <v>Упаковочная бумага цвет</v>
      </c>
      <c r="C16" s="56">
        <f>'Расчет с_стоим'!H12</f>
        <v>50</v>
      </c>
      <c r="D16" s="57"/>
    </row>
    <row r="17" spans="1:4" hidden="1" x14ac:dyDescent="0.3">
      <c r="A17" s="125"/>
      <c r="B17" s="3">
        <f>'Расчет с_стоим'!G13</f>
        <v>0</v>
      </c>
      <c r="C17" s="56">
        <f>'Расчет с_стоим'!H13</f>
        <v>0</v>
      </c>
      <c r="D17" s="57"/>
    </row>
    <row r="18" spans="1:4" hidden="1" x14ac:dyDescent="0.3">
      <c r="A18" s="125"/>
      <c r="B18" s="3">
        <f>'Расчет с_стоим'!G14</f>
        <v>0</v>
      </c>
      <c r="C18" s="56">
        <f>'Расчет с_стоим'!H14</f>
        <v>0</v>
      </c>
      <c r="D18" s="57"/>
    </row>
    <row r="19" spans="1:4" hidden="1" x14ac:dyDescent="0.3">
      <c r="A19" s="125"/>
      <c r="B19" s="3">
        <f>'Расчет с_стоим'!G15</f>
        <v>0</v>
      </c>
      <c r="C19" s="56">
        <f>'Расчет с_стоим'!H15</f>
        <v>0</v>
      </c>
      <c r="D19" s="57"/>
    </row>
    <row r="20" spans="1:4" hidden="1" x14ac:dyDescent="0.3">
      <c r="A20" s="125"/>
      <c r="B20" s="3">
        <f>'Расчет с_стоим'!G16</f>
        <v>0</v>
      </c>
      <c r="C20" s="56">
        <f>'Расчет с_стоим'!H16</f>
        <v>0</v>
      </c>
      <c r="D20" s="57"/>
    </row>
    <row r="21" spans="1:4" hidden="1" x14ac:dyDescent="0.3">
      <c r="A21" s="125"/>
      <c r="B21" s="3">
        <f>'Расчет с_стоим'!G17</f>
        <v>0</v>
      </c>
      <c r="C21" s="56">
        <f>'Расчет с_стоим'!H17</f>
        <v>0</v>
      </c>
      <c r="D21" s="57"/>
    </row>
    <row r="22" spans="1:4" hidden="1" x14ac:dyDescent="0.3">
      <c r="A22" s="125"/>
      <c r="B22" s="3">
        <f>'Расчет с_стоим'!G18</f>
        <v>0</v>
      </c>
      <c r="C22" s="56">
        <f>'Расчет с_стоим'!H18</f>
        <v>0</v>
      </c>
      <c r="D22" s="57"/>
    </row>
    <row r="23" spans="1:4" hidden="1" x14ac:dyDescent="0.3">
      <c r="A23" s="125"/>
      <c r="B23" s="3">
        <f>'Расчет с_стоим'!G19</f>
        <v>0</v>
      </c>
      <c r="C23" s="56">
        <f>'Расчет с_стоим'!H19</f>
        <v>0</v>
      </c>
      <c r="D23" s="57"/>
    </row>
    <row r="24" spans="1:4" hidden="1" x14ac:dyDescent="0.3">
      <c r="A24" s="125"/>
      <c r="B24" s="3">
        <f>'Расчет с_стоим'!G20</f>
        <v>0</v>
      </c>
      <c r="C24" s="56">
        <f>'Расчет с_стоим'!H20</f>
        <v>0</v>
      </c>
      <c r="D24" s="57"/>
    </row>
    <row r="25" spans="1:4" hidden="1" x14ac:dyDescent="0.3">
      <c r="A25" s="125"/>
      <c r="B25" s="3">
        <f>'Расчет с_стоим'!G21</f>
        <v>0</v>
      </c>
      <c r="C25" s="56">
        <f>'Расчет с_стоим'!H21</f>
        <v>0</v>
      </c>
      <c r="D25" s="57"/>
    </row>
    <row r="26" spans="1:4" hidden="1" x14ac:dyDescent="0.3">
      <c r="A26" s="125"/>
      <c r="B26" s="3">
        <f>'Расчет с_стоим'!G22</f>
        <v>0</v>
      </c>
      <c r="C26" s="56">
        <f>'Расчет с_стоим'!H22</f>
        <v>0</v>
      </c>
      <c r="D26" s="57"/>
    </row>
    <row r="27" spans="1:4" hidden="1" x14ac:dyDescent="0.3">
      <c r="A27" s="125"/>
      <c r="B27" s="3">
        <f>'Расчет с_стоим'!G23</f>
        <v>0</v>
      </c>
      <c r="C27" s="56">
        <f>'Расчет с_стоим'!H23</f>
        <v>0</v>
      </c>
      <c r="D27" s="57"/>
    </row>
    <row r="28" spans="1:4" hidden="1" x14ac:dyDescent="0.3">
      <c r="A28" s="125"/>
      <c r="B28" s="3">
        <f>'Расчет с_стоим'!G24</f>
        <v>0</v>
      </c>
      <c r="C28" s="56">
        <f>'Расчет с_стоим'!H24</f>
        <v>0</v>
      </c>
      <c r="D28" s="57"/>
    </row>
    <row r="29" spans="1:4" ht="15" hidden="1" thickBot="1" x14ac:dyDescent="0.35">
      <c r="A29" s="126"/>
      <c r="B29" s="58">
        <f>'Расчет с_стоим'!G25</f>
        <v>0</v>
      </c>
      <c r="C29" s="62">
        <f>'Расчет с_стоим'!H25</f>
        <v>0</v>
      </c>
      <c r="D29" s="59"/>
    </row>
    <row r="30" spans="1:4" hidden="1" x14ac:dyDescent="0.3">
      <c r="A30" s="61">
        <v>1</v>
      </c>
      <c r="B30" s="3" t="str">
        <f>Технология!B10</f>
        <v>Желток (17 г от 1 яйца)</v>
      </c>
      <c r="C30" s="56">
        <f>Технология!C10</f>
        <v>353.1535450195737</v>
      </c>
    </row>
    <row r="31" spans="1:4" x14ac:dyDescent="0.3">
      <c r="A31" s="61">
        <v>2</v>
      </c>
      <c r="B31" s="3" t="str">
        <f>Технология!B11</f>
        <v>Сахар песок</v>
      </c>
      <c r="C31" s="56">
        <f>Технология!C11</f>
        <v>170.07394519356242</v>
      </c>
    </row>
    <row r="32" spans="1:4" ht="14.4" customHeight="1" x14ac:dyDescent="0.3">
      <c r="A32" s="61">
        <v>3</v>
      </c>
      <c r="B32" s="3" t="str">
        <f>Технология!B12</f>
        <v>Масло подсолнечное</v>
      </c>
      <c r="C32" s="56">
        <f>Технология!C12</f>
        <v>85.036972596781212</v>
      </c>
    </row>
    <row r="33" spans="1:3" ht="14.4" customHeight="1" x14ac:dyDescent="0.3">
      <c r="A33" s="61">
        <v>4</v>
      </c>
      <c r="B33" s="3" t="str">
        <f>Технология!B13</f>
        <v>Мука пшеничная</v>
      </c>
      <c r="C33" s="56">
        <f>Технология!C13</f>
        <v>325.14136581122227</v>
      </c>
    </row>
    <row r="34" spans="1:3" ht="14.4" hidden="1" customHeight="1" x14ac:dyDescent="0.3">
      <c r="A34" s="61">
        <v>5</v>
      </c>
      <c r="B34" s="3" t="str">
        <f>Технология!B14</f>
        <v>Паста дес. фисташка</v>
      </c>
      <c r="C34" s="56">
        <f>Технология!C14</f>
        <v>35.015224010439319</v>
      </c>
    </row>
    <row r="35" spans="1:3" x14ac:dyDescent="0.3">
      <c r="A35" s="61">
        <v>6</v>
      </c>
      <c r="B35" s="3" t="str">
        <f>Технология!B15</f>
        <v>Кипяток</v>
      </c>
      <c r="C35" s="56">
        <f>Технология!C15</f>
        <v>85.036972596781212</v>
      </c>
    </row>
    <row r="36" spans="1:3" x14ac:dyDescent="0.3">
      <c r="A36" s="61">
        <v>7</v>
      </c>
      <c r="B36" s="3" t="str">
        <f>Технология!B16</f>
        <v>Разрыхлитель</v>
      </c>
      <c r="C36" s="56">
        <f>Технология!C16</f>
        <v>14.006089604175727</v>
      </c>
    </row>
    <row r="37" spans="1:3" x14ac:dyDescent="0.3">
      <c r="A37" s="61">
        <v>8</v>
      </c>
      <c r="B37" s="3" t="str">
        <f>Технология!B17</f>
        <v>Лимонная кислота</v>
      </c>
      <c r="C37" s="56">
        <f>Технология!C17</f>
        <v>2.0008699434536754</v>
      </c>
    </row>
    <row r="38" spans="1:3" hidden="1" x14ac:dyDescent="0.3">
      <c r="A38" s="61">
        <v>9</v>
      </c>
      <c r="B38" s="3" t="str">
        <f>Технология!B18</f>
        <v>Соль</v>
      </c>
      <c r="C38" s="56">
        <f>Технология!C18</f>
        <v>2.0008699434536754</v>
      </c>
    </row>
    <row r="39" spans="1:3" ht="14.4" hidden="1" customHeight="1" x14ac:dyDescent="0.3">
      <c r="A39" s="61">
        <v>10</v>
      </c>
      <c r="B39" s="3">
        <f>Технология!B19</f>
        <v>0</v>
      </c>
      <c r="C39" s="56">
        <f>Технология!C19</f>
        <v>0</v>
      </c>
    </row>
    <row r="40" spans="1:3" ht="14.4" hidden="1" customHeight="1" x14ac:dyDescent="0.3">
      <c r="A40" s="61">
        <v>11</v>
      </c>
      <c r="B40" s="3">
        <f>Технология!B20</f>
        <v>0</v>
      </c>
      <c r="C40" s="56">
        <f>Технология!C20</f>
        <v>0</v>
      </c>
    </row>
    <row r="41" spans="1:3" ht="14.4" hidden="1" customHeight="1" x14ac:dyDescent="0.3">
      <c r="A41" s="61">
        <v>12</v>
      </c>
      <c r="B41" s="3">
        <f>Технология!B21</f>
        <v>0</v>
      </c>
      <c r="C41" s="56">
        <f>Технология!C21</f>
        <v>0</v>
      </c>
    </row>
    <row r="42" spans="1:3" ht="14.4" hidden="1" customHeight="1" x14ac:dyDescent="0.3">
      <c r="A42" s="61">
        <v>13</v>
      </c>
      <c r="B42" s="3">
        <f>Технология!B22</f>
        <v>0</v>
      </c>
      <c r="C42" s="56">
        <f>Технология!C22</f>
        <v>0</v>
      </c>
    </row>
    <row r="43" spans="1:3" ht="14.4" hidden="1" customHeight="1" x14ac:dyDescent="0.3">
      <c r="A43" s="61">
        <v>14</v>
      </c>
      <c r="B43" s="3">
        <f>Технология!B23</f>
        <v>0</v>
      </c>
      <c r="C43" s="56">
        <f>Технология!C23</f>
        <v>0</v>
      </c>
    </row>
    <row r="44" spans="1:3" ht="14.4" hidden="1" customHeight="1" x14ac:dyDescent="0.3">
      <c r="A44" s="61">
        <v>1</v>
      </c>
      <c r="B44" s="3" t="str">
        <f>Технология!F10</f>
        <v>Сливки 33 – 35%</v>
      </c>
      <c r="C44" s="56">
        <f>Технология!G10</f>
        <v>211.09177903436276</v>
      </c>
    </row>
    <row r="45" spans="1:3" ht="14.4" hidden="1" customHeight="1" x14ac:dyDescent="0.3">
      <c r="A45" s="61">
        <v>2</v>
      </c>
      <c r="B45" s="3" t="str">
        <f>Технология!F11</f>
        <v>Творожный сыр</v>
      </c>
      <c r="C45" s="56">
        <f>Технология!G11</f>
        <v>211.09177903436276</v>
      </c>
    </row>
    <row r="46" spans="1:3" ht="14.4" hidden="1" customHeight="1" x14ac:dyDescent="0.3">
      <c r="A46" s="61">
        <v>3</v>
      </c>
      <c r="B46" s="3" t="str">
        <f>Технология!F12</f>
        <v>Молоко сгущенное(380 гр)</v>
      </c>
      <c r="C46" s="56">
        <f>Технология!G12</f>
        <v>84.036537625054365</v>
      </c>
    </row>
    <row r="47" spans="1:3" ht="14.4" hidden="1" customHeight="1" x14ac:dyDescent="0.3">
      <c r="A47" s="61">
        <v>4</v>
      </c>
      <c r="B47" s="3" t="str">
        <f>Технология!F13</f>
        <v>Ванильный сахар</v>
      </c>
      <c r="C47" s="56">
        <f>Технология!G13</f>
        <v>8.0034797738147017</v>
      </c>
    </row>
    <row r="48" spans="1:3" ht="14.4" hidden="1" customHeight="1" x14ac:dyDescent="0.3">
      <c r="A48" s="61">
        <v>5</v>
      </c>
      <c r="B48" s="3">
        <f>Технология!F14</f>
        <v>0</v>
      </c>
      <c r="C48" s="56">
        <f>Технология!G14</f>
        <v>0</v>
      </c>
    </row>
    <row r="49" spans="1:3" ht="14.4" hidden="1" customHeight="1" x14ac:dyDescent="0.3">
      <c r="A49" s="61">
        <v>6</v>
      </c>
      <c r="B49" s="3">
        <f>Технология!F15</f>
        <v>0</v>
      </c>
      <c r="C49" s="56">
        <f>Технология!G15</f>
        <v>0</v>
      </c>
    </row>
    <row r="50" spans="1:3" ht="14.4" hidden="1" customHeight="1" x14ac:dyDescent="0.3">
      <c r="A50" s="61">
        <v>7</v>
      </c>
      <c r="B50" s="3">
        <f>Технология!F16</f>
        <v>0</v>
      </c>
      <c r="C50" s="56">
        <f>Технология!G16</f>
        <v>0</v>
      </c>
    </row>
    <row r="51" spans="1:3" ht="14.4" hidden="1" customHeight="1" x14ac:dyDescent="0.3">
      <c r="A51" s="61">
        <v>8</v>
      </c>
      <c r="B51" s="3">
        <f>Технология!F17</f>
        <v>0</v>
      </c>
      <c r="C51" s="56">
        <f>Технология!G17</f>
        <v>0</v>
      </c>
    </row>
    <row r="52" spans="1:3" ht="14.4" hidden="1" customHeight="1" x14ac:dyDescent="0.3">
      <c r="A52" s="61">
        <v>9</v>
      </c>
      <c r="B52" s="3">
        <f>Технология!F18</f>
        <v>0</v>
      </c>
      <c r="C52" s="56">
        <f>Технология!G18</f>
        <v>0</v>
      </c>
    </row>
    <row r="53" spans="1:3" ht="14.4" hidden="1" customHeight="1" x14ac:dyDescent="0.3">
      <c r="A53" s="61">
        <v>10</v>
      </c>
      <c r="B53" s="3">
        <f>Технология!F19</f>
        <v>0</v>
      </c>
      <c r="C53" s="56">
        <f>Технология!G19</f>
        <v>0</v>
      </c>
    </row>
    <row r="54" spans="1:3" ht="14.4" hidden="1" customHeight="1" x14ac:dyDescent="0.3">
      <c r="A54" s="61">
        <v>11</v>
      </c>
      <c r="B54" s="3">
        <f>Технология!F20</f>
        <v>0</v>
      </c>
      <c r="C54" s="56">
        <f>Технология!G20</f>
        <v>0</v>
      </c>
    </row>
    <row r="55" spans="1:3" ht="14.4" hidden="1" customHeight="1" x14ac:dyDescent="0.3">
      <c r="A55" s="61">
        <v>12</v>
      </c>
      <c r="B55" s="3">
        <f>Технология!F21</f>
        <v>0</v>
      </c>
      <c r="C55" s="56">
        <f>Технология!G21</f>
        <v>0</v>
      </c>
    </row>
    <row r="56" spans="1:3" ht="14.4" hidden="1" customHeight="1" x14ac:dyDescent="0.3">
      <c r="A56" s="61">
        <v>13</v>
      </c>
      <c r="B56" s="3">
        <f>Технология!F22</f>
        <v>0</v>
      </c>
      <c r="C56" s="56">
        <f>Технология!G22</f>
        <v>0</v>
      </c>
    </row>
    <row r="57" spans="1:3" hidden="1" x14ac:dyDescent="0.3">
      <c r="A57" s="61">
        <v>14</v>
      </c>
      <c r="B57" s="3">
        <f>Технология!F23</f>
        <v>0</v>
      </c>
      <c r="C57" s="56">
        <f>Технология!G23</f>
        <v>0</v>
      </c>
    </row>
    <row r="58" spans="1:3" hidden="1" x14ac:dyDescent="0.3">
      <c r="A58" s="61">
        <v>1</v>
      </c>
      <c r="B58" s="3" t="str">
        <f>Технология!J10</f>
        <v>Сливки 33 – 35%</v>
      </c>
      <c r="C58" s="56">
        <f>Технология!K10</f>
        <v>211.09177903436276</v>
      </c>
    </row>
    <row r="59" spans="1:3" ht="14.4" hidden="1" customHeight="1" x14ac:dyDescent="0.3">
      <c r="A59" s="61">
        <v>2</v>
      </c>
      <c r="B59" s="3" t="str">
        <f>Технология!J11</f>
        <v>Молоко сгущенное(380 гр)</v>
      </c>
      <c r="C59" s="56">
        <f>Технология!K11</f>
        <v>127.05524140930839</v>
      </c>
    </row>
    <row r="60" spans="1:3" ht="14.4" hidden="1" customHeight="1" x14ac:dyDescent="0.3">
      <c r="A60" s="61">
        <v>3</v>
      </c>
      <c r="B60" s="3" t="str">
        <f>Технология!J12</f>
        <v>Банан кг (120-150гр)</v>
      </c>
      <c r="C60" s="56">
        <f>Технология!K12</f>
        <v>245.10656807307524</v>
      </c>
    </row>
    <row r="61" spans="1:3" ht="14.4" hidden="1" customHeight="1" x14ac:dyDescent="0.3">
      <c r="A61" s="61">
        <v>4</v>
      </c>
      <c r="B61" s="3" t="str">
        <f>Технология!J13</f>
        <v>Желатин</v>
      </c>
      <c r="C61" s="56">
        <f>Технология!K13</f>
        <v>8.0034797738147017</v>
      </c>
    </row>
    <row r="62" spans="1:3" ht="14.4" hidden="1" customHeight="1" x14ac:dyDescent="0.3">
      <c r="A62" s="61">
        <v>5</v>
      </c>
      <c r="B62" s="3" t="str">
        <f>Технология!J14</f>
        <v>Паста дес. банан</v>
      </c>
      <c r="C62" s="56">
        <f>Технология!K14</f>
        <v>4.0017398869073508</v>
      </c>
    </row>
    <row r="63" spans="1:3" ht="14.4" hidden="1" customHeight="1" x14ac:dyDescent="0.3">
      <c r="A63" s="61">
        <v>6</v>
      </c>
      <c r="B63" s="3">
        <f>Технология!J15</f>
        <v>0</v>
      </c>
      <c r="C63" s="56">
        <f>Технология!K15</f>
        <v>0</v>
      </c>
    </row>
    <row r="64" spans="1:3" ht="14.4" hidden="1" customHeight="1" x14ac:dyDescent="0.3">
      <c r="A64" s="61">
        <v>7</v>
      </c>
      <c r="B64" s="3">
        <f>Технология!J16</f>
        <v>0</v>
      </c>
      <c r="C64" s="56">
        <f>Технология!K16</f>
        <v>0</v>
      </c>
    </row>
    <row r="65" spans="1:3" ht="14.4" hidden="1" customHeight="1" x14ac:dyDescent="0.3">
      <c r="A65" s="61">
        <v>8</v>
      </c>
      <c r="B65" s="3">
        <f>Технология!J17</f>
        <v>0</v>
      </c>
      <c r="C65" s="56">
        <f>Технология!K17</f>
        <v>0</v>
      </c>
    </row>
    <row r="66" spans="1:3" ht="14.4" hidden="1" customHeight="1" x14ac:dyDescent="0.3">
      <c r="A66" s="61">
        <v>9</v>
      </c>
      <c r="B66" s="3">
        <f>Технология!J18</f>
        <v>0</v>
      </c>
      <c r="C66" s="56">
        <f>Технология!K18</f>
        <v>0</v>
      </c>
    </row>
    <row r="67" spans="1:3" ht="14.4" hidden="1" customHeight="1" x14ac:dyDescent="0.3">
      <c r="A67" s="61">
        <v>10</v>
      </c>
      <c r="B67" s="3">
        <f>Технология!J19</f>
        <v>0</v>
      </c>
      <c r="C67" s="56">
        <f>Технология!K19</f>
        <v>0</v>
      </c>
    </row>
    <row r="68" spans="1:3" ht="14.4" hidden="1" customHeight="1" x14ac:dyDescent="0.3">
      <c r="A68" s="61">
        <v>11</v>
      </c>
      <c r="B68" s="3">
        <f>Технология!J20</f>
        <v>0</v>
      </c>
      <c r="C68" s="56">
        <f>Технология!K20</f>
        <v>0</v>
      </c>
    </row>
    <row r="69" spans="1:3" ht="14.4" hidden="1" customHeight="1" x14ac:dyDescent="0.3">
      <c r="A69" s="61">
        <v>12</v>
      </c>
      <c r="B69" s="3">
        <f>Технология!J21</f>
        <v>0</v>
      </c>
      <c r="C69" s="56">
        <f>Технология!K21</f>
        <v>0</v>
      </c>
    </row>
    <row r="70" spans="1:3" ht="14.4" hidden="1" customHeight="1" x14ac:dyDescent="0.3">
      <c r="A70" s="61">
        <v>13</v>
      </c>
      <c r="B70" s="3">
        <f>Технология!J22</f>
        <v>0</v>
      </c>
      <c r="C70" s="56">
        <f>Технология!K22</f>
        <v>0</v>
      </c>
    </row>
    <row r="71" spans="1:3" hidden="1" x14ac:dyDescent="0.3">
      <c r="A71" s="61">
        <v>14</v>
      </c>
      <c r="B71" s="3">
        <f>Технология!J23</f>
        <v>0</v>
      </c>
      <c r="C71" s="56">
        <f>Технология!K23</f>
        <v>0</v>
      </c>
    </row>
    <row r="72" spans="1:3" hidden="1" x14ac:dyDescent="0.3">
      <c r="A72" s="61">
        <v>1</v>
      </c>
      <c r="B72" s="3" t="str">
        <f>Технология!N10</f>
        <v>Молоко сгущенное(380 гр)</v>
      </c>
      <c r="C72" s="56">
        <f>Технология!O10</f>
        <v>68.029578077424958</v>
      </c>
    </row>
    <row r="73" spans="1:3" x14ac:dyDescent="0.3">
      <c r="A73" s="61">
        <v>2</v>
      </c>
      <c r="B73" s="3" t="str">
        <f>Технология!N11</f>
        <v>Масло сливочное 82,5%</v>
      </c>
      <c r="C73" s="56">
        <f>Технология!O11</f>
        <v>51.022183558068726</v>
      </c>
    </row>
    <row r="74" spans="1:3" ht="14.4" hidden="1" customHeight="1" x14ac:dyDescent="0.3">
      <c r="A74" s="61">
        <v>3</v>
      </c>
      <c r="B74" s="3" t="str">
        <f>Технология!N12</f>
        <v xml:space="preserve">Шарики рисовые в глазури </v>
      </c>
      <c r="C74" s="56">
        <f>Технология!O12</f>
        <v>17.007394519356239</v>
      </c>
    </row>
    <row r="75" spans="1:3" ht="14.4" hidden="1" customHeight="1" x14ac:dyDescent="0.3">
      <c r="A75" s="61">
        <v>4</v>
      </c>
      <c r="B75" s="3">
        <f>Технология!N13</f>
        <v>0</v>
      </c>
      <c r="C75" s="56">
        <f>Технология!O13</f>
        <v>0</v>
      </c>
    </row>
    <row r="76" spans="1:3" ht="14.4" hidden="1" customHeight="1" x14ac:dyDescent="0.3">
      <c r="A76" s="61">
        <v>5</v>
      </c>
      <c r="B76" s="3">
        <f>Технология!N14</f>
        <v>0</v>
      </c>
      <c r="C76" s="56">
        <f>Технология!O14</f>
        <v>0</v>
      </c>
    </row>
    <row r="77" spans="1:3" ht="14.4" hidden="1" customHeight="1" x14ac:dyDescent="0.3">
      <c r="A77" s="61">
        <v>6</v>
      </c>
      <c r="B77" s="3">
        <f>Технология!N15</f>
        <v>0</v>
      </c>
      <c r="C77" s="56">
        <f>Технология!O15</f>
        <v>0</v>
      </c>
    </row>
    <row r="78" spans="1:3" ht="14.4" hidden="1" customHeight="1" x14ac:dyDescent="0.3">
      <c r="A78" s="61">
        <v>7</v>
      </c>
      <c r="B78" s="3">
        <f>Технология!N16</f>
        <v>0</v>
      </c>
      <c r="C78" s="56">
        <f>Технология!O16</f>
        <v>0</v>
      </c>
    </row>
    <row r="79" spans="1:3" ht="14.4" hidden="1" customHeight="1" x14ac:dyDescent="0.3">
      <c r="A79" s="61">
        <v>8</v>
      </c>
      <c r="B79" s="3">
        <f>Технология!N17</f>
        <v>0</v>
      </c>
      <c r="C79" s="56">
        <f>Технология!O17</f>
        <v>0</v>
      </c>
    </row>
    <row r="80" spans="1:3" ht="14.4" hidden="1" customHeight="1" x14ac:dyDescent="0.3">
      <c r="A80" s="61">
        <v>9</v>
      </c>
      <c r="B80" s="3">
        <f>Технология!N18</f>
        <v>0</v>
      </c>
      <c r="C80" s="56">
        <f>Технология!O18</f>
        <v>0</v>
      </c>
    </row>
    <row r="81" spans="1:3" ht="14.4" hidden="1" customHeight="1" x14ac:dyDescent="0.3">
      <c r="A81" s="61">
        <v>10</v>
      </c>
      <c r="B81" s="3">
        <f>Технология!N19</f>
        <v>0</v>
      </c>
      <c r="C81" s="56">
        <f>Технология!O19</f>
        <v>0</v>
      </c>
    </row>
    <row r="82" spans="1:3" ht="14.4" hidden="1" customHeight="1" x14ac:dyDescent="0.3">
      <c r="A82" s="61">
        <v>11</v>
      </c>
      <c r="B82" s="3">
        <f>Технология!N20</f>
        <v>0</v>
      </c>
      <c r="C82" s="56">
        <f>Технология!O20</f>
        <v>0</v>
      </c>
    </row>
    <row r="83" spans="1:3" ht="14.4" hidden="1" customHeight="1" x14ac:dyDescent="0.3">
      <c r="A83" s="61">
        <v>12</v>
      </c>
      <c r="B83" s="3">
        <f>Технология!N21</f>
        <v>0</v>
      </c>
      <c r="C83" s="56">
        <f>Технология!O21</f>
        <v>0</v>
      </c>
    </row>
    <row r="84" spans="1:3" ht="14.4" hidden="1" customHeight="1" x14ac:dyDescent="0.3">
      <c r="A84" s="61">
        <v>13</v>
      </c>
      <c r="B84" s="3">
        <f>Технология!N22</f>
        <v>0</v>
      </c>
      <c r="C84" s="56">
        <f>Технология!O22</f>
        <v>0</v>
      </c>
    </row>
    <row r="85" spans="1:3" hidden="1" x14ac:dyDescent="0.3">
      <c r="A85" s="61">
        <v>14</v>
      </c>
      <c r="B85" s="3">
        <f>Технология!N23</f>
        <v>0</v>
      </c>
      <c r="C85" s="56">
        <f>Технология!O23</f>
        <v>0</v>
      </c>
    </row>
    <row r="86" spans="1:3" x14ac:dyDescent="0.3">
      <c r="A86" s="61">
        <v>1</v>
      </c>
      <c r="B86" s="3" t="str">
        <f>Технология!R10</f>
        <v>Кипяток</v>
      </c>
      <c r="C86" s="56">
        <f>Технология!S10</f>
        <v>51.022183558068726</v>
      </c>
    </row>
    <row r="87" spans="1:3" ht="14.4" hidden="1" customHeight="1" x14ac:dyDescent="0.3">
      <c r="A87" s="61">
        <v>2</v>
      </c>
      <c r="B87" s="3" t="str">
        <f>Технология!R11</f>
        <v>Молоко сгущенное(380 гр)</v>
      </c>
      <c r="C87" s="56">
        <f>Технология!S11</f>
        <v>13.00565463244889</v>
      </c>
    </row>
    <row r="88" spans="1:3" ht="14.4" hidden="1" customHeight="1" x14ac:dyDescent="0.3">
      <c r="A88" s="61">
        <v>3</v>
      </c>
      <c r="B88" s="3" t="str">
        <f>Технология!R12</f>
        <v>Паста дес. фисташка</v>
      </c>
      <c r="C88" s="56">
        <f>Технология!S12</f>
        <v>4.0017398869073508</v>
      </c>
    </row>
    <row r="89" spans="1:3" ht="14.4" hidden="1" customHeight="1" x14ac:dyDescent="0.3">
      <c r="A89" s="61">
        <v>4</v>
      </c>
      <c r="B89" s="3">
        <f>Технология!R13</f>
        <v>0</v>
      </c>
      <c r="C89" s="56">
        <f>Технология!S13</f>
        <v>0</v>
      </c>
    </row>
    <row r="90" spans="1:3" ht="14.4" hidden="1" customHeight="1" x14ac:dyDescent="0.3">
      <c r="A90" s="61">
        <v>5</v>
      </c>
      <c r="B90" s="3">
        <f>Технология!R14</f>
        <v>0</v>
      </c>
      <c r="C90" s="56">
        <f>Технология!S14</f>
        <v>0</v>
      </c>
    </row>
    <row r="91" spans="1:3" hidden="1" x14ac:dyDescent="0.3">
      <c r="A91" s="61">
        <v>6</v>
      </c>
      <c r="B91" s="3">
        <f>Технология!R15</f>
        <v>0</v>
      </c>
      <c r="C91" s="56">
        <f>Технология!S15</f>
        <v>0</v>
      </c>
    </row>
    <row r="92" spans="1:3" hidden="1" x14ac:dyDescent="0.3">
      <c r="A92" s="61">
        <v>7</v>
      </c>
      <c r="B92" s="3">
        <f>Технология!R16</f>
        <v>0</v>
      </c>
      <c r="C92" s="56">
        <f>Технология!S16</f>
        <v>0</v>
      </c>
    </row>
    <row r="93" spans="1:3" hidden="1" x14ac:dyDescent="0.3">
      <c r="A93" s="61">
        <v>8</v>
      </c>
      <c r="B93" s="3">
        <f>Технология!R17</f>
        <v>0</v>
      </c>
      <c r="C93" s="56">
        <f>Технология!S17</f>
        <v>0</v>
      </c>
    </row>
    <row r="94" spans="1:3" hidden="1" x14ac:dyDescent="0.3">
      <c r="A94" s="61">
        <v>9</v>
      </c>
      <c r="B94" s="3">
        <f>Технология!R18</f>
        <v>0</v>
      </c>
      <c r="C94" s="56">
        <f>Технология!S18</f>
        <v>0</v>
      </c>
    </row>
    <row r="95" spans="1:3" hidden="1" x14ac:dyDescent="0.3">
      <c r="A95" s="61">
        <v>10</v>
      </c>
      <c r="B95" s="3">
        <f>Технология!R19</f>
        <v>0</v>
      </c>
      <c r="C95" s="56">
        <f>Технология!S19</f>
        <v>0</v>
      </c>
    </row>
    <row r="96" spans="1:3" hidden="1" x14ac:dyDescent="0.3">
      <c r="A96" s="61">
        <v>11</v>
      </c>
      <c r="B96" s="3">
        <f>Технология!R20</f>
        <v>0</v>
      </c>
      <c r="C96" s="56">
        <f>Технология!S20</f>
        <v>0</v>
      </c>
    </row>
    <row r="97" spans="1:3" hidden="1" x14ac:dyDescent="0.3">
      <c r="A97" s="61">
        <v>12</v>
      </c>
      <c r="B97" s="3">
        <f>Технология!R21</f>
        <v>0</v>
      </c>
      <c r="C97" s="56">
        <f>Технология!S21</f>
        <v>0</v>
      </c>
    </row>
    <row r="98" spans="1:3" hidden="1" x14ac:dyDescent="0.3">
      <c r="A98" s="61">
        <v>13</v>
      </c>
      <c r="B98" s="3">
        <f>Технология!R22</f>
        <v>0</v>
      </c>
      <c r="C98" s="56">
        <f>Технология!S22</f>
        <v>0</v>
      </c>
    </row>
    <row r="99" spans="1:3" hidden="1" x14ac:dyDescent="0.3">
      <c r="A99" s="61">
        <v>14</v>
      </c>
      <c r="B99" s="3">
        <f>Технология!R23</f>
        <v>0</v>
      </c>
      <c r="C99" s="56">
        <f>Технология!S23</f>
        <v>0</v>
      </c>
    </row>
    <row r="100" spans="1:3" hidden="1" x14ac:dyDescent="0.3">
      <c r="A100" s="61">
        <v>1</v>
      </c>
      <c r="B100" s="3">
        <f>Технология!V10</f>
        <v>0</v>
      </c>
      <c r="C100" s="56">
        <f>Технология!W10</f>
        <v>0</v>
      </c>
    </row>
    <row r="101" spans="1:3" hidden="1" x14ac:dyDescent="0.3">
      <c r="A101" s="61">
        <v>2</v>
      </c>
      <c r="B101" s="3">
        <f>Технология!V11</f>
        <v>0</v>
      </c>
      <c r="C101" s="56">
        <f>Технология!W11</f>
        <v>0</v>
      </c>
    </row>
    <row r="102" spans="1:3" hidden="1" x14ac:dyDescent="0.3">
      <c r="A102" s="61">
        <v>3</v>
      </c>
      <c r="B102" s="3">
        <f>Технология!V12</f>
        <v>0</v>
      </c>
      <c r="C102" s="56">
        <f>Технология!W12</f>
        <v>0</v>
      </c>
    </row>
    <row r="103" spans="1:3" hidden="1" x14ac:dyDescent="0.3">
      <c r="A103" s="61">
        <v>4</v>
      </c>
      <c r="B103" s="3">
        <f>Технология!V13</f>
        <v>0</v>
      </c>
      <c r="C103" s="56">
        <f>Технология!W13</f>
        <v>0</v>
      </c>
    </row>
    <row r="104" spans="1:3" hidden="1" x14ac:dyDescent="0.3">
      <c r="A104" s="61">
        <v>5</v>
      </c>
      <c r="B104" s="3">
        <f>Технология!V14</f>
        <v>0</v>
      </c>
      <c r="C104" s="56">
        <f>Технология!W14</f>
        <v>0</v>
      </c>
    </row>
    <row r="105" spans="1:3" hidden="1" x14ac:dyDescent="0.3">
      <c r="A105" s="61">
        <v>6</v>
      </c>
      <c r="B105" s="3">
        <f>Технология!V15</f>
        <v>0</v>
      </c>
      <c r="C105" s="56">
        <f>Технология!W15</f>
        <v>0</v>
      </c>
    </row>
    <row r="106" spans="1:3" hidden="1" x14ac:dyDescent="0.3">
      <c r="A106" s="61">
        <v>7</v>
      </c>
      <c r="B106" s="3">
        <f>Технология!V16</f>
        <v>0</v>
      </c>
      <c r="C106" s="56">
        <f>Технология!W16</f>
        <v>0</v>
      </c>
    </row>
    <row r="107" spans="1:3" hidden="1" x14ac:dyDescent="0.3">
      <c r="A107" s="61">
        <v>8</v>
      </c>
      <c r="B107" s="3">
        <f>Технология!V17</f>
        <v>0</v>
      </c>
      <c r="C107" s="56">
        <f>Технология!W17</f>
        <v>0</v>
      </c>
    </row>
    <row r="108" spans="1:3" hidden="1" x14ac:dyDescent="0.3">
      <c r="A108" s="61">
        <v>9</v>
      </c>
      <c r="B108" s="3">
        <f>Технология!V18</f>
        <v>0</v>
      </c>
      <c r="C108" s="56">
        <f>Технология!W18</f>
        <v>0</v>
      </c>
    </row>
    <row r="109" spans="1:3" hidden="1" x14ac:dyDescent="0.3">
      <c r="A109" s="61">
        <v>10</v>
      </c>
      <c r="B109" s="3">
        <f>Технология!V19</f>
        <v>0</v>
      </c>
      <c r="C109" s="56">
        <f>Технология!W19</f>
        <v>0</v>
      </c>
    </row>
    <row r="110" spans="1:3" hidden="1" x14ac:dyDescent="0.3">
      <c r="A110" s="61">
        <v>11</v>
      </c>
      <c r="B110" s="3">
        <f>Технология!V20</f>
        <v>0</v>
      </c>
      <c r="C110" s="56">
        <f>Технология!W20</f>
        <v>0</v>
      </c>
    </row>
    <row r="111" spans="1:3" hidden="1" x14ac:dyDescent="0.3">
      <c r="A111" s="61">
        <v>12</v>
      </c>
      <c r="B111" s="3">
        <f>Технология!V21</f>
        <v>0</v>
      </c>
      <c r="C111" s="56">
        <f>Технология!W21</f>
        <v>0</v>
      </c>
    </row>
    <row r="112" spans="1:3" hidden="1" x14ac:dyDescent="0.3">
      <c r="A112" s="61">
        <v>13</v>
      </c>
      <c r="B112" s="3">
        <f>Технология!V22</f>
        <v>0</v>
      </c>
      <c r="C112" s="56">
        <f>Технология!W22</f>
        <v>0</v>
      </c>
    </row>
    <row r="113" spans="1:3" hidden="1" x14ac:dyDescent="0.3">
      <c r="A113" s="61">
        <v>14</v>
      </c>
      <c r="B113" s="3">
        <f>Технология!V23</f>
        <v>0</v>
      </c>
      <c r="C113" s="56">
        <f>Технология!W23</f>
        <v>0</v>
      </c>
    </row>
  </sheetData>
  <autoFilter ref="A1:D113" xr:uid="{8BB31593-CF2E-4AE3-BD31-479494B07F06}">
    <filterColumn colId="1">
      <filters>
        <filter val="Белок на БЗК гр"/>
        <filter val="Ванильная паста"/>
        <filter val="Вода"/>
        <filter val="Желе сухое фруктовое"/>
        <filter val="Зефирные фигурки"/>
        <filter val="Какао-порошок"/>
        <filter val="Кипяток"/>
        <filter val="Кондитерский мешок"/>
        <filter val="Коробка для торта"/>
        <filter val="Краситель пищевой"/>
        <filter val="Кукурузный крахмал"/>
        <filter val="Лимонная кислота"/>
        <filter val="Масло подсолнечное"/>
        <filter val="Масло сливочное 82,5%"/>
        <filter val="Молоко"/>
        <filter val="Мука пшеничная"/>
        <filter val="Пакет фасовочный 12*14"/>
        <filter val="Палочки для мороженного"/>
        <filter val="Паста десертная клубника"/>
        <filter val="Печенье бисквитное"/>
        <filter val="Подложка 2  толщ 30*30 см"/>
        <filter val="Разрыхлитель"/>
        <filter val="Сахар"/>
        <filter val="Сахар песок"/>
        <filter val="Упаковочная бумага цвет"/>
        <filter val="Шоколад молочный"/>
        <filter val="Шоколада для ганаша"/>
        <filter val="Шпажки маленькие"/>
        <filter val="Электричество"/>
        <filter val="Яичный белок(43 г от 1 яйца)"/>
        <filter val="Яичный желток ( 17 г от 1 яйца)"/>
        <filter val="Яйцо (г)"/>
      </filters>
    </filterColumn>
  </autoFilter>
  <mergeCells count="2">
    <mergeCell ref="A2:A7"/>
    <mergeCell ref="A8:A29"/>
  </mergeCells>
  <pageMargins left="0.7" right="0.7" top="0.75" bottom="0.75" header="0.3" footer="0.3"/>
  <pageSetup paperSize="9" scale="95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A394-49BE-4118-83B3-3E05120D6947}">
  <sheetPr>
    <tabColor theme="7" tint="0.39997558519241921"/>
    <pageSetUpPr fitToPage="1"/>
  </sheetPr>
  <dimension ref="A1:Q93"/>
  <sheetViews>
    <sheetView zoomScaleNormal="100" workbookViewId="0">
      <selection activeCell="P1" sqref="P1"/>
    </sheetView>
  </sheetViews>
  <sheetFormatPr defaultRowHeight="14.4" x14ac:dyDescent="0.3"/>
  <cols>
    <col min="1" max="1" width="3.6640625" customWidth="1"/>
    <col min="2" max="2" width="23.77734375" customWidth="1"/>
    <col min="3" max="3" width="7.109375" customWidth="1"/>
    <col min="4" max="4" width="9.109375" customWidth="1"/>
    <col min="5" max="5" width="12.77734375" customWidth="1"/>
    <col min="6" max="6" width="3.6640625" customWidth="1"/>
    <col min="7" max="7" width="24.6640625" customWidth="1"/>
    <col min="8" max="8" width="7.109375" customWidth="1"/>
    <col min="9" max="9" width="9.109375" customWidth="1"/>
    <col min="10" max="10" width="12.77734375" customWidth="1"/>
    <col min="11" max="11" width="3.6640625" customWidth="1"/>
    <col min="13" max="13" width="9.21875" bestFit="1" customWidth="1"/>
    <col min="14" max="14" width="18.109375" customWidth="1"/>
    <col min="15" max="15" width="11.5546875" customWidth="1"/>
    <col min="16" max="16" width="12.21875" style="3" bestFit="1" customWidth="1"/>
    <col min="17" max="17" width="16.5546875" customWidth="1"/>
  </cols>
  <sheetData>
    <row r="1" spans="1:17" s="45" customFormat="1" ht="34.200000000000003" customHeight="1" x14ac:dyDescent="0.3">
      <c r="B1" s="46" t="s">
        <v>28</v>
      </c>
      <c r="C1" s="128">
        <f>E3+J3+M3</f>
        <v>205.3</v>
      </c>
      <c r="D1" s="128"/>
      <c r="N1" s="129" t="s">
        <v>48</v>
      </c>
      <c r="O1" s="129"/>
      <c r="P1" s="91">
        <f>SUM(P2:P3)</f>
        <v>186.98551576366526</v>
      </c>
      <c r="Q1" s="90" t="s">
        <v>46</v>
      </c>
    </row>
    <row r="2" spans="1:17" s="40" customFormat="1" ht="28.8" x14ac:dyDescent="0.3">
      <c r="B2" s="40" t="s">
        <v>17</v>
      </c>
      <c r="C2" s="40" t="s">
        <v>33</v>
      </c>
      <c r="D2" s="40" t="s">
        <v>40</v>
      </c>
      <c r="E2" s="40" t="s">
        <v>25</v>
      </c>
      <c r="G2" s="40" t="s">
        <v>39</v>
      </c>
      <c r="H2" s="40" t="s">
        <v>30</v>
      </c>
      <c r="I2" s="40" t="s">
        <v>40</v>
      </c>
      <c r="J2" s="40" t="s">
        <v>31</v>
      </c>
      <c r="N2" s="40" t="s">
        <v>49</v>
      </c>
      <c r="O2" s="92">
        <f>Технология!C8</f>
        <v>986.42888212266189</v>
      </c>
      <c r="P2" s="89">
        <f>O2*14.691943/100</f>
        <v>144.92556909699869</v>
      </c>
    </row>
    <row r="3" spans="1:17" s="40" customFormat="1" ht="20.399999999999999" customHeight="1" x14ac:dyDescent="0.3">
      <c r="B3" s="40" t="s">
        <v>38</v>
      </c>
      <c r="C3" s="47">
        <f>SUM(C4:C93)-P1</f>
        <v>2589.1172061664488</v>
      </c>
      <c r="D3" s="40" t="s">
        <v>33</v>
      </c>
      <c r="E3" s="48">
        <f>SUM(E4:E93)</f>
        <v>0</v>
      </c>
      <c r="G3" s="40" t="s">
        <v>38</v>
      </c>
      <c r="I3" s="40" t="s">
        <v>41</v>
      </c>
      <c r="J3" s="48">
        <f>SUM(J4:J93)</f>
        <v>205.3</v>
      </c>
      <c r="L3" s="49" t="s">
        <v>18</v>
      </c>
      <c r="M3" s="52">
        <v>0</v>
      </c>
      <c r="N3" s="130" t="s">
        <v>47</v>
      </c>
      <c r="O3" s="130"/>
      <c r="P3" s="89">
        <f>C8</f>
        <v>42.05994666666659</v>
      </c>
    </row>
    <row r="4" spans="1:17" x14ac:dyDescent="0.3">
      <c r="A4" s="127" t="s">
        <v>29</v>
      </c>
      <c r="B4" s="3" t="str">
        <f>Технология!N4</f>
        <v>Шоколада для ганаша</v>
      </c>
      <c r="C4" s="3">
        <f>Технология!O4</f>
        <v>59.8</v>
      </c>
      <c r="D4" s="50"/>
      <c r="E4">
        <f t="shared" ref="E4:E9" si="0">C4*D4</f>
        <v>0</v>
      </c>
      <c r="G4" s="51" t="s">
        <v>27</v>
      </c>
      <c r="H4" s="51">
        <v>0</v>
      </c>
      <c r="I4" s="50">
        <v>1.5</v>
      </c>
      <c r="J4">
        <f t="shared" ref="J4:J25" si="1">H4*I4</f>
        <v>0</v>
      </c>
    </row>
    <row r="5" spans="1:17" x14ac:dyDescent="0.3">
      <c r="A5" s="127"/>
      <c r="B5" s="3" t="str">
        <f>Технология!R4</f>
        <v>Масло сливочное 82,5%</v>
      </c>
      <c r="C5" s="3">
        <f>Технология!S4</f>
        <v>29.9</v>
      </c>
      <c r="D5" s="50"/>
      <c r="E5">
        <f t="shared" si="0"/>
        <v>0</v>
      </c>
      <c r="G5" s="51" t="s">
        <v>24</v>
      </c>
      <c r="H5" s="51"/>
      <c r="I5" s="50">
        <v>137</v>
      </c>
      <c r="J5">
        <f t="shared" si="1"/>
        <v>0</v>
      </c>
    </row>
    <row r="6" spans="1:17" x14ac:dyDescent="0.3">
      <c r="A6" s="127"/>
      <c r="B6" s="3" t="str">
        <f>Технология!V1</f>
        <v>Белок на БЗК гр</v>
      </c>
      <c r="C6" s="3">
        <f>Технология!W1</f>
        <v>81.777777777777644</v>
      </c>
      <c r="D6" s="50"/>
      <c r="E6">
        <f t="shared" si="0"/>
        <v>0</v>
      </c>
      <c r="G6" s="51" t="s">
        <v>23</v>
      </c>
      <c r="H6" s="51"/>
      <c r="I6" s="50">
        <v>2.66</v>
      </c>
      <c r="J6">
        <f t="shared" si="1"/>
        <v>0</v>
      </c>
    </row>
    <row r="7" spans="1:17" x14ac:dyDescent="0.3">
      <c r="A7" s="127"/>
      <c r="B7" s="3" t="str">
        <f>Технология!V2</f>
        <v>Сахар</v>
      </c>
      <c r="C7" s="3">
        <f>Технология!W2</f>
        <v>175.24977777777747</v>
      </c>
      <c r="D7" s="50"/>
      <c r="E7">
        <f t="shared" si="0"/>
        <v>0</v>
      </c>
      <c r="G7" s="51" t="s">
        <v>37</v>
      </c>
      <c r="H7" s="51">
        <v>0</v>
      </c>
      <c r="I7" s="50">
        <v>2.1349489703920085E-2</v>
      </c>
      <c r="J7">
        <f t="shared" si="1"/>
        <v>0</v>
      </c>
    </row>
    <row r="8" spans="1:17" x14ac:dyDescent="0.3">
      <c r="A8" s="127"/>
      <c r="B8" s="3" t="str">
        <f>Технология!V3</f>
        <v>Вода</v>
      </c>
      <c r="C8" s="3">
        <f>Технология!W3</f>
        <v>42.05994666666659</v>
      </c>
      <c r="D8" s="50"/>
      <c r="E8">
        <f t="shared" si="0"/>
        <v>0</v>
      </c>
      <c r="G8" s="51" t="s">
        <v>36</v>
      </c>
      <c r="H8" s="51"/>
      <c r="I8" s="50">
        <v>0.6</v>
      </c>
      <c r="J8">
        <f t="shared" si="1"/>
        <v>0</v>
      </c>
    </row>
    <row r="9" spans="1:17" x14ac:dyDescent="0.3">
      <c r="A9" s="127"/>
      <c r="B9" s="3" t="str">
        <f>Технология!V4</f>
        <v>Лимонная кислота</v>
      </c>
      <c r="C9" s="3">
        <f>Технология!W4</f>
        <v>2.2782471111111069</v>
      </c>
      <c r="D9" s="50"/>
      <c r="E9">
        <f t="shared" si="0"/>
        <v>0</v>
      </c>
      <c r="G9" s="51" t="s">
        <v>26</v>
      </c>
      <c r="H9" s="51">
        <v>10</v>
      </c>
      <c r="I9" s="50">
        <v>5.13</v>
      </c>
      <c r="J9">
        <f t="shared" si="1"/>
        <v>51.3</v>
      </c>
    </row>
    <row r="10" spans="1:17" x14ac:dyDescent="0.3">
      <c r="A10">
        <v>1</v>
      </c>
      <c r="B10" s="3" t="str">
        <f>Технология!B10</f>
        <v>Желток (17 г от 1 яйца)</v>
      </c>
      <c r="C10" s="3">
        <f>Технология!C10</f>
        <v>353.1535450195737</v>
      </c>
      <c r="D10" s="50"/>
      <c r="E10">
        <f t="shared" ref="E10:E41" si="2">C10*D10</f>
        <v>0</v>
      </c>
      <c r="G10" s="51" t="s">
        <v>32</v>
      </c>
      <c r="H10" s="51"/>
      <c r="I10" s="50">
        <v>70</v>
      </c>
      <c r="J10">
        <f t="shared" si="1"/>
        <v>0</v>
      </c>
    </row>
    <row r="11" spans="1:17" x14ac:dyDescent="0.3">
      <c r="A11">
        <v>2</v>
      </c>
      <c r="B11" s="3" t="str">
        <f>Технология!B11</f>
        <v>Сахар песок</v>
      </c>
      <c r="C11" s="3">
        <f>Технология!C11</f>
        <v>170.07394519356242</v>
      </c>
      <c r="D11" s="50"/>
      <c r="E11">
        <f t="shared" si="2"/>
        <v>0</v>
      </c>
      <c r="G11" s="51" t="s">
        <v>34</v>
      </c>
      <c r="H11" s="51"/>
      <c r="I11" s="50">
        <v>1.32</v>
      </c>
      <c r="J11">
        <f t="shared" si="1"/>
        <v>0</v>
      </c>
    </row>
    <row r="12" spans="1:17" x14ac:dyDescent="0.3">
      <c r="A12">
        <v>3</v>
      </c>
      <c r="B12" s="3" t="str">
        <f>Технология!B12</f>
        <v>Масло подсолнечное</v>
      </c>
      <c r="C12" s="3">
        <f>Технология!C12</f>
        <v>85.036972596781212</v>
      </c>
      <c r="D12" s="50"/>
      <c r="E12">
        <f t="shared" si="2"/>
        <v>0</v>
      </c>
      <c r="G12" s="51" t="s">
        <v>35</v>
      </c>
      <c r="H12" s="51">
        <v>50</v>
      </c>
      <c r="I12" s="50">
        <v>3.08</v>
      </c>
      <c r="J12">
        <f t="shared" si="1"/>
        <v>154</v>
      </c>
    </row>
    <row r="13" spans="1:17" x14ac:dyDescent="0.3">
      <c r="A13">
        <v>4</v>
      </c>
      <c r="B13" s="3" t="str">
        <f>Технология!B13</f>
        <v>Мука пшеничная</v>
      </c>
      <c r="C13" s="3">
        <f>Технология!C13</f>
        <v>325.14136581122227</v>
      </c>
      <c r="D13" s="50"/>
      <c r="E13">
        <f t="shared" si="2"/>
        <v>0</v>
      </c>
      <c r="G13" s="51"/>
      <c r="H13" s="3"/>
      <c r="J13">
        <f t="shared" si="1"/>
        <v>0</v>
      </c>
    </row>
    <row r="14" spans="1:17" x14ac:dyDescent="0.3">
      <c r="A14">
        <v>5</v>
      </c>
      <c r="B14" s="3" t="str">
        <f>Технология!B14</f>
        <v>Паста дес. фисташка</v>
      </c>
      <c r="C14" s="3">
        <f>Технология!C14</f>
        <v>35.015224010439319</v>
      </c>
      <c r="D14" s="50"/>
      <c r="E14">
        <f t="shared" si="2"/>
        <v>0</v>
      </c>
      <c r="G14" s="51"/>
      <c r="H14" s="3"/>
      <c r="J14">
        <f t="shared" si="1"/>
        <v>0</v>
      </c>
    </row>
    <row r="15" spans="1:17" x14ac:dyDescent="0.3">
      <c r="A15">
        <v>6</v>
      </c>
      <c r="B15" s="3" t="str">
        <f>Технология!B15</f>
        <v>Кипяток</v>
      </c>
      <c r="C15" s="3">
        <f>Технология!C15</f>
        <v>85.036972596781212</v>
      </c>
      <c r="D15" s="50"/>
      <c r="E15">
        <f t="shared" si="2"/>
        <v>0</v>
      </c>
      <c r="G15" s="51"/>
      <c r="H15" s="3"/>
      <c r="J15">
        <f t="shared" si="1"/>
        <v>0</v>
      </c>
    </row>
    <row r="16" spans="1:17" x14ac:dyDescent="0.3">
      <c r="A16">
        <v>7</v>
      </c>
      <c r="B16" s="3" t="str">
        <f>Технология!B16</f>
        <v>Разрыхлитель</v>
      </c>
      <c r="C16" s="3">
        <f>Технология!C16</f>
        <v>14.006089604175727</v>
      </c>
      <c r="D16" s="50"/>
      <c r="E16">
        <f t="shared" si="2"/>
        <v>0</v>
      </c>
      <c r="G16" s="51"/>
      <c r="H16" s="3"/>
      <c r="J16">
        <f t="shared" si="1"/>
        <v>0</v>
      </c>
    </row>
    <row r="17" spans="1:10" x14ac:dyDescent="0.3">
      <c r="A17">
        <v>8</v>
      </c>
      <c r="B17" s="3" t="str">
        <f>Технология!B17</f>
        <v>Лимонная кислота</v>
      </c>
      <c r="C17" s="3">
        <f>Технология!C17</f>
        <v>2.0008699434536754</v>
      </c>
      <c r="D17" s="50"/>
      <c r="E17">
        <f t="shared" si="2"/>
        <v>0</v>
      </c>
      <c r="G17" s="51"/>
      <c r="H17" s="3"/>
      <c r="J17">
        <f t="shared" si="1"/>
        <v>0</v>
      </c>
    </row>
    <row r="18" spans="1:10" x14ac:dyDescent="0.3">
      <c r="A18">
        <v>9</v>
      </c>
      <c r="B18" s="3" t="str">
        <f>Технология!B18</f>
        <v>Соль</v>
      </c>
      <c r="C18" s="3">
        <f>Технология!C18</f>
        <v>2.0008699434536754</v>
      </c>
      <c r="D18" s="50"/>
      <c r="E18">
        <f t="shared" si="2"/>
        <v>0</v>
      </c>
      <c r="G18" s="51"/>
      <c r="H18" s="3"/>
      <c r="J18">
        <f t="shared" si="1"/>
        <v>0</v>
      </c>
    </row>
    <row r="19" spans="1:10" x14ac:dyDescent="0.3">
      <c r="A19">
        <v>10</v>
      </c>
      <c r="B19" s="3">
        <f>Технология!B19</f>
        <v>0</v>
      </c>
      <c r="C19" s="3">
        <f>Технология!C19</f>
        <v>0</v>
      </c>
      <c r="D19" s="50"/>
      <c r="E19">
        <f t="shared" si="2"/>
        <v>0</v>
      </c>
      <c r="G19" s="51"/>
      <c r="H19" s="3"/>
      <c r="J19">
        <f t="shared" si="1"/>
        <v>0</v>
      </c>
    </row>
    <row r="20" spans="1:10" x14ac:dyDescent="0.3">
      <c r="A20">
        <v>11</v>
      </c>
      <c r="B20" s="3">
        <f>Технология!B20</f>
        <v>0</v>
      </c>
      <c r="C20" s="3">
        <f>Технология!C20</f>
        <v>0</v>
      </c>
      <c r="D20" s="50"/>
      <c r="E20">
        <f t="shared" si="2"/>
        <v>0</v>
      </c>
      <c r="G20" s="51"/>
      <c r="H20" s="3"/>
      <c r="J20">
        <f t="shared" si="1"/>
        <v>0</v>
      </c>
    </row>
    <row r="21" spans="1:10" x14ac:dyDescent="0.3">
      <c r="A21">
        <v>12</v>
      </c>
      <c r="B21" s="3">
        <f>Технология!B21</f>
        <v>0</v>
      </c>
      <c r="C21" s="3">
        <f>Технология!C21</f>
        <v>0</v>
      </c>
      <c r="D21" s="50"/>
      <c r="E21">
        <f t="shared" si="2"/>
        <v>0</v>
      </c>
      <c r="G21" s="51"/>
      <c r="H21" s="3"/>
      <c r="J21">
        <f t="shared" si="1"/>
        <v>0</v>
      </c>
    </row>
    <row r="22" spans="1:10" x14ac:dyDescent="0.3">
      <c r="A22">
        <v>13</v>
      </c>
      <c r="B22" s="3">
        <f>Технология!B22</f>
        <v>0</v>
      </c>
      <c r="C22" s="3">
        <f>Технология!C22</f>
        <v>0</v>
      </c>
      <c r="D22" s="50"/>
      <c r="E22">
        <f t="shared" si="2"/>
        <v>0</v>
      </c>
      <c r="G22" s="51"/>
      <c r="H22" s="3"/>
      <c r="J22">
        <f t="shared" si="1"/>
        <v>0</v>
      </c>
    </row>
    <row r="23" spans="1:10" x14ac:dyDescent="0.3">
      <c r="A23">
        <v>14</v>
      </c>
      <c r="B23" s="3">
        <f>Технология!B23</f>
        <v>0</v>
      </c>
      <c r="C23" s="3">
        <f>Технология!C23</f>
        <v>0</v>
      </c>
      <c r="D23" s="50"/>
      <c r="E23">
        <f t="shared" si="2"/>
        <v>0</v>
      </c>
      <c r="G23" s="51"/>
      <c r="H23" s="3"/>
      <c r="J23">
        <f t="shared" si="1"/>
        <v>0</v>
      </c>
    </row>
    <row r="24" spans="1:10" x14ac:dyDescent="0.3">
      <c r="A24">
        <v>1</v>
      </c>
      <c r="B24" s="3" t="str">
        <f>Технология!F10</f>
        <v>Сливки 33 – 35%</v>
      </c>
      <c r="C24" s="3">
        <f>Технология!G10</f>
        <v>211.09177903436276</v>
      </c>
      <c r="D24" s="50"/>
      <c r="E24">
        <f t="shared" si="2"/>
        <v>0</v>
      </c>
      <c r="G24" s="51"/>
      <c r="H24" s="3"/>
      <c r="J24">
        <f t="shared" si="1"/>
        <v>0</v>
      </c>
    </row>
    <row r="25" spans="1:10" x14ac:dyDescent="0.3">
      <c r="A25">
        <v>2</v>
      </c>
      <c r="B25" s="3" t="str">
        <f>Технология!F11</f>
        <v>Творожный сыр</v>
      </c>
      <c r="C25" s="3">
        <f>Технология!G11</f>
        <v>211.09177903436276</v>
      </c>
      <c r="D25" s="50"/>
      <c r="E25">
        <f t="shared" si="2"/>
        <v>0</v>
      </c>
      <c r="G25" s="51"/>
      <c r="H25" s="3"/>
      <c r="J25">
        <f t="shared" si="1"/>
        <v>0</v>
      </c>
    </row>
    <row r="26" spans="1:10" x14ac:dyDescent="0.3">
      <c r="A26">
        <v>3</v>
      </c>
      <c r="B26" s="3" t="str">
        <f>Технология!F12</f>
        <v>Молоко сгущенное(380 гр)</v>
      </c>
      <c r="C26" s="3">
        <f>Технология!G12</f>
        <v>84.036537625054365</v>
      </c>
      <c r="D26" s="50"/>
      <c r="E26">
        <f t="shared" si="2"/>
        <v>0</v>
      </c>
    </row>
    <row r="27" spans="1:10" x14ac:dyDescent="0.3">
      <c r="A27">
        <v>4</v>
      </c>
      <c r="B27" s="3" t="str">
        <f>Технология!F13</f>
        <v>Ванильный сахар</v>
      </c>
      <c r="C27" s="3">
        <f>Технология!G13</f>
        <v>8.0034797738147017</v>
      </c>
      <c r="D27" s="50"/>
      <c r="E27">
        <f t="shared" si="2"/>
        <v>0</v>
      </c>
    </row>
    <row r="28" spans="1:10" x14ac:dyDescent="0.3">
      <c r="A28">
        <v>5</v>
      </c>
      <c r="B28" s="3">
        <f>Технология!F14</f>
        <v>0</v>
      </c>
      <c r="C28" s="3">
        <f>Технология!G14</f>
        <v>0</v>
      </c>
      <c r="D28" s="50"/>
      <c r="E28">
        <f t="shared" si="2"/>
        <v>0</v>
      </c>
    </row>
    <row r="29" spans="1:10" x14ac:dyDescent="0.3">
      <c r="A29">
        <v>6</v>
      </c>
      <c r="B29" s="3">
        <f>Технология!F15</f>
        <v>0</v>
      </c>
      <c r="C29" s="3">
        <f>Технология!G15</f>
        <v>0</v>
      </c>
      <c r="D29" s="50"/>
      <c r="E29">
        <f t="shared" si="2"/>
        <v>0</v>
      </c>
    </row>
    <row r="30" spans="1:10" x14ac:dyDescent="0.3">
      <c r="A30">
        <v>7</v>
      </c>
      <c r="B30" s="3">
        <f>Технология!F16</f>
        <v>0</v>
      </c>
      <c r="C30" s="3">
        <f>Технология!G16</f>
        <v>0</v>
      </c>
      <c r="D30" s="50"/>
      <c r="E30">
        <f t="shared" si="2"/>
        <v>0</v>
      </c>
    </row>
    <row r="31" spans="1:10" x14ac:dyDescent="0.3">
      <c r="A31">
        <v>8</v>
      </c>
      <c r="B31" s="3">
        <f>Технология!F17</f>
        <v>0</v>
      </c>
      <c r="C31" s="3">
        <f>Технология!G17</f>
        <v>0</v>
      </c>
      <c r="D31" s="50"/>
      <c r="E31">
        <f t="shared" si="2"/>
        <v>0</v>
      </c>
    </row>
    <row r="32" spans="1:10" x14ac:dyDescent="0.3">
      <c r="A32">
        <v>9</v>
      </c>
      <c r="B32" s="3">
        <f>Технология!F18</f>
        <v>0</v>
      </c>
      <c r="C32" s="3">
        <f>Технология!G18</f>
        <v>0</v>
      </c>
      <c r="D32" s="50"/>
      <c r="E32">
        <f t="shared" si="2"/>
        <v>0</v>
      </c>
    </row>
    <row r="33" spans="1:5" x14ac:dyDescent="0.3">
      <c r="A33">
        <v>10</v>
      </c>
      <c r="B33" s="3">
        <f>Технология!F19</f>
        <v>0</v>
      </c>
      <c r="C33" s="3">
        <f>Технология!G19</f>
        <v>0</v>
      </c>
      <c r="D33" s="50"/>
      <c r="E33">
        <f t="shared" si="2"/>
        <v>0</v>
      </c>
    </row>
    <row r="34" spans="1:5" x14ac:dyDescent="0.3">
      <c r="A34">
        <v>11</v>
      </c>
      <c r="B34" s="3">
        <f>Технология!F20</f>
        <v>0</v>
      </c>
      <c r="C34" s="3">
        <f>Технология!G20</f>
        <v>0</v>
      </c>
      <c r="D34" s="50"/>
      <c r="E34">
        <f t="shared" si="2"/>
        <v>0</v>
      </c>
    </row>
    <row r="35" spans="1:5" x14ac:dyDescent="0.3">
      <c r="A35">
        <v>12</v>
      </c>
      <c r="B35" s="3">
        <f>Технология!F21</f>
        <v>0</v>
      </c>
      <c r="C35" s="3">
        <f>Технология!G21</f>
        <v>0</v>
      </c>
      <c r="D35" s="50"/>
      <c r="E35">
        <f t="shared" si="2"/>
        <v>0</v>
      </c>
    </row>
    <row r="36" spans="1:5" x14ac:dyDescent="0.3">
      <c r="A36">
        <v>13</v>
      </c>
      <c r="B36" s="3">
        <f>Технология!F22</f>
        <v>0</v>
      </c>
      <c r="C36" s="3">
        <f>Технология!G22</f>
        <v>0</v>
      </c>
      <c r="D36" s="50"/>
      <c r="E36">
        <f t="shared" si="2"/>
        <v>0</v>
      </c>
    </row>
    <row r="37" spans="1:5" x14ac:dyDescent="0.3">
      <c r="A37">
        <v>14</v>
      </c>
      <c r="B37" s="3">
        <f>Технология!F23</f>
        <v>0</v>
      </c>
      <c r="C37" s="3">
        <f>Технология!G23</f>
        <v>0</v>
      </c>
      <c r="D37" s="50"/>
      <c r="E37">
        <f t="shared" si="2"/>
        <v>0</v>
      </c>
    </row>
    <row r="38" spans="1:5" x14ac:dyDescent="0.3">
      <c r="A38">
        <v>1</v>
      </c>
      <c r="B38" s="3" t="str">
        <f>Технология!J10</f>
        <v>Сливки 33 – 35%</v>
      </c>
      <c r="C38" s="3">
        <f>Технология!K10</f>
        <v>211.09177903436276</v>
      </c>
      <c r="D38" s="50"/>
      <c r="E38">
        <f t="shared" si="2"/>
        <v>0</v>
      </c>
    </row>
    <row r="39" spans="1:5" x14ac:dyDescent="0.3">
      <c r="A39">
        <v>2</v>
      </c>
      <c r="B39" s="3" t="str">
        <f>Технология!J11</f>
        <v>Молоко сгущенное(380 гр)</v>
      </c>
      <c r="C39" s="3">
        <f>Технология!K11</f>
        <v>127.05524140930839</v>
      </c>
      <c r="D39" s="50"/>
      <c r="E39">
        <f t="shared" si="2"/>
        <v>0</v>
      </c>
    </row>
    <row r="40" spans="1:5" x14ac:dyDescent="0.3">
      <c r="A40">
        <v>3</v>
      </c>
      <c r="B40" s="3" t="str">
        <f>Технология!J12</f>
        <v>Банан кг (120-150гр)</v>
      </c>
      <c r="C40" s="3">
        <f>Технология!K12</f>
        <v>245.10656807307524</v>
      </c>
      <c r="D40" s="50"/>
      <c r="E40">
        <f t="shared" si="2"/>
        <v>0</v>
      </c>
    </row>
    <row r="41" spans="1:5" x14ac:dyDescent="0.3">
      <c r="A41">
        <v>4</v>
      </c>
      <c r="B41" s="3" t="str">
        <f>Технология!J13</f>
        <v>Желатин</v>
      </c>
      <c r="C41" s="3">
        <f>Технология!K13</f>
        <v>8.0034797738147017</v>
      </c>
      <c r="D41" s="50"/>
      <c r="E41">
        <f t="shared" si="2"/>
        <v>0</v>
      </c>
    </row>
    <row r="42" spans="1:5" x14ac:dyDescent="0.3">
      <c r="A42">
        <v>5</v>
      </c>
      <c r="B42" s="3" t="str">
        <f>Технология!J14</f>
        <v>Паста дес. банан</v>
      </c>
      <c r="C42" s="3">
        <f>Технология!K14</f>
        <v>4.0017398869073508</v>
      </c>
      <c r="D42" s="50"/>
      <c r="E42">
        <f t="shared" ref="E42:E73" si="3">C42*D42</f>
        <v>0</v>
      </c>
    </row>
    <row r="43" spans="1:5" x14ac:dyDescent="0.3">
      <c r="A43">
        <v>6</v>
      </c>
      <c r="B43" s="3">
        <f>Технология!J15</f>
        <v>0</v>
      </c>
      <c r="C43" s="3">
        <f>Технология!K15</f>
        <v>0</v>
      </c>
      <c r="D43" s="50"/>
      <c r="E43">
        <f t="shared" si="3"/>
        <v>0</v>
      </c>
    </row>
    <row r="44" spans="1:5" x14ac:dyDescent="0.3">
      <c r="A44">
        <v>7</v>
      </c>
      <c r="B44" s="3">
        <f>Технология!J16</f>
        <v>0</v>
      </c>
      <c r="C44" s="3">
        <f>Технология!K16</f>
        <v>0</v>
      </c>
      <c r="D44" s="50"/>
      <c r="E44">
        <f t="shared" si="3"/>
        <v>0</v>
      </c>
    </row>
    <row r="45" spans="1:5" x14ac:dyDescent="0.3">
      <c r="A45">
        <v>8</v>
      </c>
      <c r="B45" s="3">
        <f>Технология!J17</f>
        <v>0</v>
      </c>
      <c r="C45" s="3">
        <f>Технология!K17</f>
        <v>0</v>
      </c>
      <c r="D45" s="50"/>
      <c r="E45">
        <f t="shared" si="3"/>
        <v>0</v>
      </c>
    </row>
    <row r="46" spans="1:5" x14ac:dyDescent="0.3">
      <c r="A46">
        <v>9</v>
      </c>
      <c r="B46" s="3">
        <f>Технология!J18</f>
        <v>0</v>
      </c>
      <c r="C46" s="3">
        <f>Технология!K18</f>
        <v>0</v>
      </c>
      <c r="D46" s="50"/>
      <c r="E46">
        <f t="shared" si="3"/>
        <v>0</v>
      </c>
    </row>
    <row r="47" spans="1:5" x14ac:dyDescent="0.3">
      <c r="A47">
        <v>10</v>
      </c>
      <c r="B47" s="3">
        <f>Технология!J19</f>
        <v>0</v>
      </c>
      <c r="C47" s="3">
        <f>Технология!K19</f>
        <v>0</v>
      </c>
      <c r="D47" s="50"/>
      <c r="E47">
        <f t="shared" si="3"/>
        <v>0</v>
      </c>
    </row>
    <row r="48" spans="1:5" x14ac:dyDescent="0.3">
      <c r="A48">
        <v>11</v>
      </c>
      <c r="B48" s="3">
        <f>Технология!J20</f>
        <v>0</v>
      </c>
      <c r="C48" s="3">
        <f>Технология!K20</f>
        <v>0</v>
      </c>
      <c r="D48" s="50"/>
      <c r="E48">
        <f t="shared" si="3"/>
        <v>0</v>
      </c>
    </row>
    <row r="49" spans="1:5" x14ac:dyDescent="0.3">
      <c r="A49">
        <v>12</v>
      </c>
      <c r="B49" s="3">
        <f>Технология!J21</f>
        <v>0</v>
      </c>
      <c r="C49" s="3">
        <f>Технология!K21</f>
        <v>0</v>
      </c>
      <c r="D49" s="50"/>
      <c r="E49">
        <f t="shared" si="3"/>
        <v>0</v>
      </c>
    </row>
    <row r="50" spans="1:5" x14ac:dyDescent="0.3">
      <c r="A50">
        <v>13</v>
      </c>
      <c r="B50" s="3">
        <f>Технология!J22</f>
        <v>0</v>
      </c>
      <c r="C50" s="3">
        <f>Технология!K22</f>
        <v>0</v>
      </c>
      <c r="D50" s="50"/>
      <c r="E50">
        <f t="shared" si="3"/>
        <v>0</v>
      </c>
    </row>
    <row r="51" spans="1:5" x14ac:dyDescent="0.3">
      <c r="A51">
        <v>14</v>
      </c>
      <c r="B51" s="3">
        <f>Технология!J23</f>
        <v>0</v>
      </c>
      <c r="C51" s="3">
        <f>Технология!K23</f>
        <v>0</v>
      </c>
      <c r="D51" s="50"/>
      <c r="E51">
        <f t="shared" si="3"/>
        <v>0</v>
      </c>
    </row>
    <row r="52" spans="1:5" x14ac:dyDescent="0.3">
      <c r="A52">
        <v>1</v>
      </c>
      <c r="B52" s="3" t="str">
        <f>Технология!N10</f>
        <v>Молоко сгущенное(380 гр)</v>
      </c>
      <c r="C52" s="3">
        <f>Технология!O10</f>
        <v>68.029578077424958</v>
      </c>
      <c r="D52" s="50"/>
      <c r="E52">
        <f t="shared" si="3"/>
        <v>0</v>
      </c>
    </row>
    <row r="53" spans="1:5" x14ac:dyDescent="0.3">
      <c r="A53">
        <v>2</v>
      </c>
      <c r="B53" s="3" t="str">
        <f>Технология!N11</f>
        <v>Масло сливочное 82,5%</v>
      </c>
      <c r="C53" s="3">
        <f>Технология!O11</f>
        <v>51.022183558068726</v>
      </c>
      <c r="D53" s="50"/>
      <c r="E53">
        <f t="shared" si="3"/>
        <v>0</v>
      </c>
    </row>
    <row r="54" spans="1:5" x14ac:dyDescent="0.3">
      <c r="A54">
        <v>3</v>
      </c>
      <c r="B54" s="3" t="str">
        <f>Технология!N12</f>
        <v xml:space="preserve">Шарики рисовые в глазури </v>
      </c>
      <c r="C54" s="3">
        <f>Технология!O12</f>
        <v>17.007394519356239</v>
      </c>
      <c r="D54" s="50"/>
      <c r="E54">
        <f t="shared" si="3"/>
        <v>0</v>
      </c>
    </row>
    <row r="55" spans="1:5" x14ac:dyDescent="0.3">
      <c r="A55">
        <v>4</v>
      </c>
      <c r="B55" s="3">
        <f>Технология!N13</f>
        <v>0</v>
      </c>
      <c r="C55" s="3">
        <f>Технология!O13</f>
        <v>0</v>
      </c>
      <c r="D55" s="50"/>
      <c r="E55">
        <f t="shared" si="3"/>
        <v>0</v>
      </c>
    </row>
    <row r="56" spans="1:5" x14ac:dyDescent="0.3">
      <c r="A56">
        <v>5</v>
      </c>
      <c r="B56" s="3">
        <f>Технология!N14</f>
        <v>0</v>
      </c>
      <c r="C56" s="3">
        <f>Технология!O14</f>
        <v>0</v>
      </c>
      <c r="D56" s="50"/>
      <c r="E56">
        <f t="shared" si="3"/>
        <v>0</v>
      </c>
    </row>
    <row r="57" spans="1:5" x14ac:dyDescent="0.3">
      <c r="A57">
        <v>6</v>
      </c>
      <c r="B57" s="3">
        <f>Технология!N15</f>
        <v>0</v>
      </c>
      <c r="C57" s="3">
        <f>Технология!O15</f>
        <v>0</v>
      </c>
      <c r="D57" s="50"/>
      <c r="E57">
        <f t="shared" si="3"/>
        <v>0</v>
      </c>
    </row>
    <row r="58" spans="1:5" x14ac:dyDescent="0.3">
      <c r="A58">
        <v>7</v>
      </c>
      <c r="B58" s="3">
        <f>Технология!N16</f>
        <v>0</v>
      </c>
      <c r="C58" s="3">
        <f>Технология!O16</f>
        <v>0</v>
      </c>
      <c r="D58" s="50"/>
      <c r="E58">
        <f t="shared" si="3"/>
        <v>0</v>
      </c>
    </row>
    <row r="59" spans="1:5" x14ac:dyDescent="0.3">
      <c r="A59">
        <v>8</v>
      </c>
      <c r="B59" s="3">
        <f>Технология!N17</f>
        <v>0</v>
      </c>
      <c r="C59" s="3">
        <f>Технология!O17</f>
        <v>0</v>
      </c>
      <c r="D59" s="50"/>
      <c r="E59">
        <f t="shared" si="3"/>
        <v>0</v>
      </c>
    </row>
    <row r="60" spans="1:5" x14ac:dyDescent="0.3">
      <c r="A60">
        <v>9</v>
      </c>
      <c r="B60" s="3">
        <f>Технология!N18</f>
        <v>0</v>
      </c>
      <c r="C60" s="3">
        <f>Технология!O18</f>
        <v>0</v>
      </c>
      <c r="D60" s="50"/>
      <c r="E60">
        <f t="shared" si="3"/>
        <v>0</v>
      </c>
    </row>
    <row r="61" spans="1:5" x14ac:dyDescent="0.3">
      <c r="A61">
        <v>10</v>
      </c>
      <c r="B61" s="3">
        <f>Технология!N19</f>
        <v>0</v>
      </c>
      <c r="C61" s="3">
        <f>Технология!O19</f>
        <v>0</v>
      </c>
      <c r="D61" s="50"/>
      <c r="E61">
        <f t="shared" si="3"/>
        <v>0</v>
      </c>
    </row>
    <row r="62" spans="1:5" x14ac:dyDescent="0.3">
      <c r="A62">
        <v>11</v>
      </c>
      <c r="B62" s="3">
        <f>Технология!N20</f>
        <v>0</v>
      </c>
      <c r="C62" s="3">
        <f>Технология!O20</f>
        <v>0</v>
      </c>
      <c r="D62" s="50"/>
      <c r="E62">
        <f t="shared" si="3"/>
        <v>0</v>
      </c>
    </row>
    <row r="63" spans="1:5" x14ac:dyDescent="0.3">
      <c r="A63">
        <v>12</v>
      </c>
      <c r="B63" s="3">
        <f>Технология!N21</f>
        <v>0</v>
      </c>
      <c r="C63" s="3">
        <f>Технология!O21</f>
        <v>0</v>
      </c>
      <c r="D63" s="50"/>
      <c r="E63">
        <f t="shared" si="3"/>
        <v>0</v>
      </c>
    </row>
    <row r="64" spans="1:5" x14ac:dyDescent="0.3">
      <c r="A64">
        <v>13</v>
      </c>
      <c r="B64" s="3">
        <f>Технология!N22</f>
        <v>0</v>
      </c>
      <c r="C64" s="3">
        <f>Технология!O22</f>
        <v>0</v>
      </c>
      <c r="D64" s="50"/>
      <c r="E64">
        <f t="shared" si="3"/>
        <v>0</v>
      </c>
    </row>
    <row r="65" spans="1:5" x14ac:dyDescent="0.3">
      <c r="A65">
        <v>14</v>
      </c>
      <c r="B65" s="3">
        <f>Технология!N23</f>
        <v>0</v>
      </c>
      <c r="C65" s="3">
        <f>Технология!O23</f>
        <v>0</v>
      </c>
      <c r="D65" s="50"/>
      <c r="E65">
        <f t="shared" si="3"/>
        <v>0</v>
      </c>
    </row>
    <row r="66" spans="1:5" x14ac:dyDescent="0.3">
      <c r="A66">
        <v>1</v>
      </c>
      <c r="B66" s="3" t="str">
        <f>Технология!R10</f>
        <v>Кипяток</v>
      </c>
      <c r="C66" s="3">
        <f>Технология!S10</f>
        <v>51.022183558068726</v>
      </c>
      <c r="D66" s="50"/>
      <c r="E66">
        <f t="shared" si="3"/>
        <v>0</v>
      </c>
    </row>
    <row r="67" spans="1:5" x14ac:dyDescent="0.3">
      <c r="A67">
        <v>2</v>
      </c>
      <c r="B67" s="3" t="str">
        <f>Технология!R11</f>
        <v>Молоко сгущенное(380 гр)</v>
      </c>
      <c r="C67" s="3">
        <f>Технология!S11</f>
        <v>13.00565463244889</v>
      </c>
      <c r="D67" s="50"/>
      <c r="E67">
        <f t="shared" si="3"/>
        <v>0</v>
      </c>
    </row>
    <row r="68" spans="1:5" x14ac:dyDescent="0.3">
      <c r="A68">
        <v>3</v>
      </c>
      <c r="B68" s="3" t="str">
        <f>Технология!R12</f>
        <v>Паста дес. фисташка</v>
      </c>
      <c r="C68" s="3">
        <f>Технология!S12</f>
        <v>4.0017398869073508</v>
      </c>
      <c r="D68" s="50"/>
      <c r="E68">
        <f t="shared" si="3"/>
        <v>0</v>
      </c>
    </row>
    <row r="69" spans="1:5" x14ac:dyDescent="0.3">
      <c r="A69">
        <v>4</v>
      </c>
      <c r="B69" s="3">
        <f>Технология!R13</f>
        <v>0</v>
      </c>
      <c r="C69" s="3">
        <f>Технология!S13</f>
        <v>0</v>
      </c>
      <c r="D69" s="50"/>
      <c r="E69">
        <f t="shared" si="3"/>
        <v>0</v>
      </c>
    </row>
    <row r="70" spans="1:5" x14ac:dyDescent="0.3">
      <c r="A70">
        <v>5</v>
      </c>
      <c r="B70" s="3">
        <f>Технология!R14</f>
        <v>0</v>
      </c>
      <c r="C70" s="3">
        <f>Технология!S14</f>
        <v>0</v>
      </c>
      <c r="D70" s="50"/>
      <c r="E70">
        <f t="shared" si="3"/>
        <v>0</v>
      </c>
    </row>
    <row r="71" spans="1:5" x14ac:dyDescent="0.3">
      <c r="A71">
        <v>6</v>
      </c>
      <c r="B71" s="3">
        <f>Технология!R15</f>
        <v>0</v>
      </c>
      <c r="C71" s="3">
        <f>Технология!S15</f>
        <v>0</v>
      </c>
      <c r="D71" s="50"/>
      <c r="E71">
        <f t="shared" si="3"/>
        <v>0</v>
      </c>
    </row>
    <row r="72" spans="1:5" x14ac:dyDescent="0.3">
      <c r="A72">
        <v>7</v>
      </c>
      <c r="B72" s="3">
        <f>Технология!R16</f>
        <v>0</v>
      </c>
      <c r="C72" s="3">
        <f>Технология!S16</f>
        <v>0</v>
      </c>
      <c r="D72" s="50"/>
      <c r="E72">
        <f t="shared" si="3"/>
        <v>0</v>
      </c>
    </row>
    <row r="73" spans="1:5" x14ac:dyDescent="0.3">
      <c r="A73">
        <v>8</v>
      </c>
      <c r="B73" s="3">
        <f>Технология!R17</f>
        <v>0</v>
      </c>
      <c r="C73" s="3">
        <f>Технология!S17</f>
        <v>0</v>
      </c>
      <c r="D73" s="50"/>
      <c r="E73">
        <f t="shared" si="3"/>
        <v>0</v>
      </c>
    </row>
    <row r="74" spans="1:5" x14ac:dyDescent="0.3">
      <c r="A74">
        <v>9</v>
      </c>
      <c r="B74" s="3">
        <f>Технология!R18</f>
        <v>0</v>
      </c>
      <c r="C74" s="3">
        <f>Технология!S18</f>
        <v>0</v>
      </c>
      <c r="D74" s="50"/>
      <c r="E74">
        <f t="shared" ref="E74:E81" si="4">C74*D74</f>
        <v>0</v>
      </c>
    </row>
    <row r="75" spans="1:5" x14ac:dyDescent="0.3">
      <c r="A75">
        <v>10</v>
      </c>
      <c r="B75" s="3">
        <f>Технология!R19</f>
        <v>0</v>
      </c>
      <c r="C75" s="3">
        <f>Технология!S19</f>
        <v>0</v>
      </c>
      <c r="D75" s="50"/>
      <c r="E75">
        <f t="shared" si="4"/>
        <v>0</v>
      </c>
    </row>
    <row r="76" spans="1:5" x14ac:dyDescent="0.3">
      <c r="A76">
        <v>11</v>
      </c>
      <c r="B76" s="3">
        <f>Технология!R20</f>
        <v>0</v>
      </c>
      <c r="C76" s="3">
        <f>Технология!S20</f>
        <v>0</v>
      </c>
      <c r="D76" s="50"/>
      <c r="E76">
        <f t="shared" si="4"/>
        <v>0</v>
      </c>
    </row>
    <row r="77" spans="1:5" x14ac:dyDescent="0.3">
      <c r="A77">
        <v>12</v>
      </c>
      <c r="B77" s="3">
        <f>Технология!R21</f>
        <v>0</v>
      </c>
      <c r="C77" s="3">
        <f>Технология!S21</f>
        <v>0</v>
      </c>
      <c r="D77" s="50"/>
      <c r="E77">
        <f t="shared" si="4"/>
        <v>0</v>
      </c>
    </row>
    <row r="78" spans="1:5" x14ac:dyDescent="0.3">
      <c r="A78">
        <v>13</v>
      </c>
      <c r="B78" s="3">
        <f>Технология!R22</f>
        <v>0</v>
      </c>
      <c r="C78" s="3">
        <f>Технология!S22</f>
        <v>0</v>
      </c>
      <c r="D78" s="50"/>
      <c r="E78">
        <f t="shared" si="4"/>
        <v>0</v>
      </c>
    </row>
    <row r="79" spans="1:5" x14ac:dyDescent="0.3">
      <c r="A79">
        <v>14</v>
      </c>
      <c r="B79" s="3">
        <f>Технология!R23</f>
        <v>0</v>
      </c>
      <c r="C79" s="3">
        <f>Технология!S23</f>
        <v>0</v>
      </c>
      <c r="D79" s="50"/>
      <c r="E79">
        <f t="shared" si="4"/>
        <v>0</v>
      </c>
    </row>
    <row r="80" spans="1:5" x14ac:dyDescent="0.3">
      <c r="A80">
        <v>1</v>
      </c>
      <c r="B80" s="3">
        <f>Технология!V10</f>
        <v>0</v>
      </c>
      <c r="C80" s="3">
        <f>Технология!W10</f>
        <v>0</v>
      </c>
      <c r="D80" s="50"/>
      <c r="E80">
        <f t="shared" si="4"/>
        <v>0</v>
      </c>
    </row>
    <row r="81" spans="1:5" x14ac:dyDescent="0.3">
      <c r="A81">
        <v>2</v>
      </c>
      <c r="B81" s="3">
        <f>Технология!V11</f>
        <v>0</v>
      </c>
      <c r="C81" s="3">
        <f>Технология!W11</f>
        <v>0</v>
      </c>
      <c r="D81" s="50"/>
      <c r="E81">
        <f t="shared" si="4"/>
        <v>0</v>
      </c>
    </row>
    <row r="82" spans="1:5" x14ac:dyDescent="0.3">
      <c r="A82">
        <v>3</v>
      </c>
      <c r="B82" s="3">
        <f>Технология!V12</f>
        <v>0</v>
      </c>
      <c r="C82" s="3">
        <f>Технология!W12</f>
        <v>0</v>
      </c>
      <c r="D82" s="50"/>
      <c r="E82">
        <f t="shared" ref="E82:E93" si="5">C82*D82</f>
        <v>0</v>
      </c>
    </row>
    <row r="83" spans="1:5" x14ac:dyDescent="0.3">
      <c r="A83">
        <v>4</v>
      </c>
      <c r="B83" s="3">
        <f>Технология!V13</f>
        <v>0</v>
      </c>
      <c r="C83" s="3">
        <f>Технология!W13</f>
        <v>0</v>
      </c>
      <c r="D83" s="50"/>
      <c r="E83">
        <f t="shared" si="5"/>
        <v>0</v>
      </c>
    </row>
    <row r="84" spans="1:5" x14ac:dyDescent="0.3">
      <c r="A84">
        <v>5</v>
      </c>
      <c r="B84" s="3">
        <f>Технология!V14</f>
        <v>0</v>
      </c>
      <c r="C84" s="3">
        <f>Технология!W14</f>
        <v>0</v>
      </c>
      <c r="D84" s="50"/>
      <c r="E84">
        <f t="shared" si="5"/>
        <v>0</v>
      </c>
    </row>
    <row r="85" spans="1:5" x14ac:dyDescent="0.3">
      <c r="A85">
        <v>6</v>
      </c>
      <c r="B85" s="3">
        <f>Технология!V15</f>
        <v>0</v>
      </c>
      <c r="C85" s="3">
        <f>Технология!W15</f>
        <v>0</v>
      </c>
      <c r="D85" s="50"/>
      <c r="E85">
        <f t="shared" si="5"/>
        <v>0</v>
      </c>
    </row>
    <row r="86" spans="1:5" x14ac:dyDescent="0.3">
      <c r="A86">
        <v>7</v>
      </c>
      <c r="B86" s="3">
        <f>Технология!V16</f>
        <v>0</v>
      </c>
      <c r="C86" s="3">
        <f>Технология!W16</f>
        <v>0</v>
      </c>
      <c r="D86" s="50"/>
      <c r="E86">
        <f t="shared" si="5"/>
        <v>0</v>
      </c>
    </row>
    <row r="87" spans="1:5" x14ac:dyDescent="0.3">
      <c r="A87">
        <v>8</v>
      </c>
      <c r="B87" s="3">
        <f>Технология!V17</f>
        <v>0</v>
      </c>
      <c r="C87" s="3">
        <f>Технология!W17</f>
        <v>0</v>
      </c>
      <c r="D87" s="50"/>
      <c r="E87">
        <f t="shared" si="5"/>
        <v>0</v>
      </c>
    </row>
    <row r="88" spans="1:5" x14ac:dyDescent="0.3">
      <c r="A88">
        <v>9</v>
      </c>
      <c r="B88" s="3">
        <f>Технология!V18</f>
        <v>0</v>
      </c>
      <c r="C88" s="3">
        <f>Технология!W18</f>
        <v>0</v>
      </c>
      <c r="D88" s="50"/>
      <c r="E88">
        <f t="shared" si="5"/>
        <v>0</v>
      </c>
    </row>
    <row r="89" spans="1:5" x14ac:dyDescent="0.3">
      <c r="A89">
        <v>10</v>
      </c>
      <c r="B89" s="3">
        <f>Технология!V19</f>
        <v>0</v>
      </c>
      <c r="C89" s="3">
        <f>Технология!W19</f>
        <v>0</v>
      </c>
      <c r="D89" s="50"/>
      <c r="E89">
        <f t="shared" si="5"/>
        <v>0</v>
      </c>
    </row>
    <row r="90" spans="1:5" x14ac:dyDescent="0.3">
      <c r="A90">
        <v>11</v>
      </c>
      <c r="B90" s="3">
        <f>Технология!V20</f>
        <v>0</v>
      </c>
      <c r="C90" s="3">
        <f>Технология!W20</f>
        <v>0</v>
      </c>
      <c r="D90" s="50"/>
      <c r="E90">
        <f t="shared" si="5"/>
        <v>0</v>
      </c>
    </row>
    <row r="91" spans="1:5" x14ac:dyDescent="0.3">
      <c r="A91">
        <v>12</v>
      </c>
      <c r="B91" s="3">
        <f>Технология!V21</f>
        <v>0</v>
      </c>
      <c r="C91" s="3">
        <f>Технология!W21</f>
        <v>0</v>
      </c>
      <c r="D91" s="50"/>
      <c r="E91">
        <f t="shared" si="5"/>
        <v>0</v>
      </c>
    </row>
    <row r="92" spans="1:5" x14ac:dyDescent="0.3">
      <c r="A92">
        <v>13</v>
      </c>
      <c r="B92" s="3">
        <f>Технология!V22</f>
        <v>0</v>
      </c>
      <c r="C92" s="3">
        <f>Технология!W22</f>
        <v>0</v>
      </c>
      <c r="D92" s="50"/>
      <c r="E92">
        <f t="shared" si="5"/>
        <v>0</v>
      </c>
    </row>
    <row r="93" spans="1:5" x14ac:dyDescent="0.3">
      <c r="A93">
        <v>14</v>
      </c>
      <c r="B93" s="3">
        <f>Технология!V23</f>
        <v>0</v>
      </c>
      <c r="C93" s="3">
        <f>Технология!W23</f>
        <v>0</v>
      </c>
      <c r="D93" s="50"/>
      <c r="E93">
        <f t="shared" si="5"/>
        <v>0</v>
      </c>
    </row>
  </sheetData>
  <sheetProtection algorithmName="SHA-512" hashValue="49RppJ6O+lfpxOKGx9XnOpa32YIZckl+M8/zIU4pmKbc4/BShe9rqs44iYzup44roiflem/CNJZS+fYOnBQg6Q==" saltValue="i7V9qQbiVjz44P5NjzlN9w==" spinCount="100000" sheet="1" objects="1" scenarios="1" selectLockedCells="1" sort="0" autoFilter="0" pivotTables="0"/>
  <autoFilter ref="A2:M93" xr:uid="{A9F0A394-49BE-4118-83B3-3E05120D6947}"/>
  <sortState xmlns:xlrd2="http://schemas.microsoft.com/office/spreadsheetml/2017/richdata2" ref="B11:C99">
    <sortCondition descending="1" ref="B10:B99"/>
  </sortState>
  <mergeCells count="4">
    <mergeCell ref="A4:A9"/>
    <mergeCell ref="C1:D1"/>
    <mergeCell ref="N1:O1"/>
    <mergeCell ref="N3:O3"/>
  </mergeCells>
  <pageMargins left="0.7" right="0.7" top="0.75" bottom="0.75" header="0.3" footer="0.3"/>
  <pageSetup paperSize="9" scale="53" fitToHeight="0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70589C-C3C9-4511-8F6B-52C7788FA5CC}">
          <x14:formula1>
            <xm:f>'С стоимость'!$A:$A</xm:f>
          </x14:formula1>
          <xm:sqref>G4:G25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323B-009E-4DD0-916E-99C53D13538E}">
  <dimension ref="A1:H23"/>
  <sheetViews>
    <sheetView workbookViewId="0">
      <selection activeCell="H1" sqref="H1:H1048576"/>
    </sheetView>
  </sheetViews>
  <sheetFormatPr defaultRowHeight="14.4" x14ac:dyDescent="0.3"/>
  <cols>
    <col min="1" max="2" width="8.77734375" customWidth="1"/>
    <col min="3" max="3" width="19.109375" customWidth="1"/>
    <col min="4" max="4" width="10.88671875" style="3" bestFit="1" customWidth="1"/>
    <col min="7" max="7" width="20.21875" customWidth="1"/>
    <col min="8" max="8" width="15.5546875" customWidth="1"/>
  </cols>
  <sheetData>
    <row r="1" spans="1:8" x14ac:dyDescent="0.3">
      <c r="A1" s="131" t="s">
        <v>50</v>
      </c>
      <c r="B1" s="131"/>
      <c r="C1" s="131"/>
      <c r="D1" s="131"/>
    </row>
    <row r="2" spans="1:8" x14ac:dyDescent="0.3">
      <c r="A2" s="132" t="s">
        <v>3</v>
      </c>
      <c r="B2" s="132"/>
      <c r="C2" s="132"/>
      <c r="D2" s="132"/>
      <c r="E2" s="2">
        <f>SUM(E4:E17)-E9</f>
        <v>986.42888212266189</v>
      </c>
      <c r="F2" s="1">
        <f>SUM(F4:F17)-F9</f>
        <v>986</v>
      </c>
      <c r="G2" s="7" t="s">
        <v>4</v>
      </c>
      <c r="H2" s="3"/>
    </row>
    <row r="3" spans="1:8" ht="14.4" customHeight="1" x14ac:dyDescent="0.3">
      <c r="A3" s="133" t="s">
        <v>70</v>
      </c>
      <c r="B3" s="133"/>
      <c r="C3" s="133"/>
      <c r="D3" s="133"/>
      <c r="E3" s="3" t="s">
        <v>0</v>
      </c>
      <c r="F3" t="s">
        <v>0</v>
      </c>
      <c r="G3" t="s">
        <v>1</v>
      </c>
      <c r="H3" s="3"/>
    </row>
    <row r="4" spans="1:8" x14ac:dyDescent="0.3">
      <c r="A4" s="133"/>
      <c r="B4" s="133"/>
      <c r="C4" s="133"/>
      <c r="D4" s="133"/>
      <c r="E4" s="4">
        <f>F4*Технология!I1</f>
        <v>353.1535450195737</v>
      </c>
      <c r="F4" s="6">
        <v>353</v>
      </c>
      <c r="G4" s="5" t="s">
        <v>51</v>
      </c>
    </row>
    <row r="5" spans="1:8" x14ac:dyDescent="0.3">
      <c r="A5" s="133"/>
      <c r="B5" s="133"/>
      <c r="C5" s="133"/>
      <c r="D5" s="133"/>
      <c r="E5" s="4">
        <f>F5*Технология!I1</f>
        <v>170.07394519356242</v>
      </c>
      <c r="F5" s="6">
        <v>170</v>
      </c>
      <c r="G5" s="5" t="s">
        <v>52</v>
      </c>
    </row>
    <row r="6" spans="1:8" x14ac:dyDescent="0.3">
      <c r="A6" s="133"/>
      <c r="B6" s="133"/>
      <c r="C6" s="133"/>
      <c r="D6" s="133"/>
      <c r="E6" s="4">
        <f>F6*Технология!I1</f>
        <v>85.036972596781212</v>
      </c>
      <c r="F6" s="6">
        <v>85</v>
      </c>
      <c r="G6" s="5" t="s">
        <v>60</v>
      </c>
    </row>
    <row r="7" spans="1:8" x14ac:dyDescent="0.3">
      <c r="A7" s="133"/>
      <c r="B7" s="133"/>
      <c r="C7" s="133"/>
      <c r="D7" s="133"/>
      <c r="E7" s="4">
        <f>F7*Технология!I1</f>
        <v>325.14136581122227</v>
      </c>
      <c r="F7" s="6">
        <v>325</v>
      </c>
      <c r="G7" s="5" t="s">
        <v>53</v>
      </c>
    </row>
    <row r="8" spans="1:8" x14ac:dyDescent="0.3">
      <c r="A8" s="133"/>
      <c r="B8" s="133"/>
      <c r="C8" s="133"/>
      <c r="D8" s="133"/>
      <c r="E8" s="4">
        <f>F8*Технология!I1</f>
        <v>35.015224010439319</v>
      </c>
      <c r="F8" s="6">
        <v>35</v>
      </c>
      <c r="G8" s="5" t="s">
        <v>54</v>
      </c>
    </row>
    <row r="9" spans="1:8" x14ac:dyDescent="0.3">
      <c r="A9" s="133"/>
      <c r="B9" s="133"/>
      <c r="C9" s="133"/>
      <c r="D9" s="133"/>
      <c r="E9" s="4">
        <f>F9*Технология!I1</f>
        <v>85.036972596781212</v>
      </c>
      <c r="F9" s="6">
        <v>85</v>
      </c>
      <c r="G9" s="5" t="s">
        <v>55</v>
      </c>
    </row>
    <row r="10" spans="1:8" x14ac:dyDescent="0.3">
      <c r="A10" s="133"/>
      <c r="B10" s="133"/>
      <c r="C10" s="133"/>
      <c r="D10" s="133"/>
      <c r="E10" s="4">
        <f>F10*Технология!I1</f>
        <v>14.006089604175727</v>
      </c>
      <c r="F10" s="6">
        <v>14</v>
      </c>
      <c r="G10" s="5" t="s">
        <v>56</v>
      </c>
    </row>
    <row r="11" spans="1:8" x14ac:dyDescent="0.3">
      <c r="A11" s="133"/>
      <c r="B11" s="133"/>
      <c r="C11" s="133"/>
      <c r="D11" s="133"/>
      <c r="E11" s="4">
        <f>F11*Технология!I1</f>
        <v>2.0008699434536754</v>
      </c>
      <c r="F11" s="6">
        <v>2</v>
      </c>
      <c r="G11" s="5" t="s">
        <v>22</v>
      </c>
    </row>
    <row r="12" spans="1:8" x14ac:dyDescent="0.3">
      <c r="A12" s="133"/>
      <c r="B12" s="133"/>
      <c r="C12" s="133"/>
      <c r="D12" s="133"/>
      <c r="E12" s="4">
        <f>F12*Технология!I1</f>
        <v>2.0008699434536754</v>
      </c>
      <c r="F12" s="6">
        <v>2</v>
      </c>
      <c r="G12" s="5" t="s">
        <v>57</v>
      </c>
    </row>
    <row r="13" spans="1:8" x14ac:dyDescent="0.3">
      <c r="A13" s="133"/>
      <c r="B13" s="133"/>
      <c r="C13" s="133"/>
      <c r="D13" s="133"/>
      <c r="E13" s="4">
        <f>F13*Технология!I1</f>
        <v>0</v>
      </c>
      <c r="F13" s="6"/>
      <c r="G13" s="5"/>
    </row>
    <row r="14" spans="1:8" x14ac:dyDescent="0.3">
      <c r="A14" s="133"/>
      <c r="B14" s="133"/>
      <c r="C14" s="133"/>
      <c r="D14" s="133"/>
      <c r="E14" s="4">
        <f>F14*Технология!I1</f>
        <v>0</v>
      </c>
      <c r="F14" s="5"/>
      <c r="G14" s="5"/>
    </row>
    <row r="15" spans="1:8" x14ac:dyDescent="0.3">
      <c r="A15" s="133"/>
      <c r="B15" s="133"/>
      <c r="C15" s="133"/>
      <c r="D15" s="133"/>
      <c r="E15" s="4">
        <f>F15*Технология!I1</f>
        <v>0</v>
      </c>
      <c r="F15" s="5"/>
      <c r="G15" s="5"/>
    </row>
    <row r="16" spans="1:8" x14ac:dyDescent="0.3">
      <c r="A16" s="133"/>
      <c r="B16" s="133"/>
      <c r="C16" s="133"/>
      <c r="D16" s="133"/>
      <c r="E16" s="4">
        <f>F16*Технология!I1</f>
        <v>0</v>
      </c>
      <c r="F16" s="5"/>
      <c r="G16" s="5"/>
    </row>
    <row r="17" spans="1:7" x14ac:dyDescent="0.3">
      <c r="A17" s="133"/>
      <c r="B17" s="133"/>
      <c r="C17" s="133"/>
      <c r="D17" s="133"/>
      <c r="E17" s="4">
        <f>F17*Технология!I1</f>
        <v>0</v>
      </c>
      <c r="F17" s="5"/>
      <c r="G17" s="5"/>
    </row>
    <row r="18" spans="1:7" x14ac:dyDescent="0.3">
      <c r="A18" s="133"/>
      <c r="B18" s="133"/>
      <c r="C18" s="133"/>
      <c r="D18" s="133"/>
    </row>
    <row r="19" spans="1:7" ht="14.4" customHeight="1" x14ac:dyDescent="0.3">
      <c r="A19" s="133"/>
      <c r="B19" s="133"/>
      <c r="C19" s="133"/>
      <c r="D19" s="133"/>
    </row>
    <row r="20" spans="1:7" x14ac:dyDescent="0.3">
      <c r="A20" s="133"/>
      <c r="B20" s="133"/>
      <c r="C20" s="133"/>
      <c r="D20" s="133"/>
    </row>
    <row r="21" spans="1:7" x14ac:dyDescent="0.3">
      <c r="A21" s="133"/>
      <c r="B21" s="133"/>
      <c r="C21" s="133"/>
      <c r="D21" s="133"/>
    </row>
    <row r="22" spans="1:7" x14ac:dyDescent="0.3">
      <c r="A22" s="133"/>
      <c r="B22" s="133"/>
      <c r="C22" s="133"/>
      <c r="D22" s="133"/>
    </row>
    <row r="23" spans="1:7" x14ac:dyDescent="0.3">
      <c r="A23" s="133"/>
      <c r="B23" s="133"/>
      <c r="C23" s="133"/>
      <c r="D23" s="133"/>
    </row>
  </sheetData>
  <dataConsolidate/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A50C38-FB1A-4AD7-A83D-D66B0D97EEC4}">
          <x14:formula1>
            <xm:f>'С стоимость'!$A:$A</xm:f>
          </x14:formula1>
          <xm:sqref>G4:G17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60EF-A264-4845-889E-93CD895CC72B}">
  <dimension ref="A1:H23"/>
  <sheetViews>
    <sheetView workbookViewId="0">
      <selection activeCell="H1" sqref="H1:H1048576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21.5546875" customWidth="1"/>
  </cols>
  <sheetData>
    <row r="1" spans="1:8" x14ac:dyDescent="0.3">
      <c r="A1" s="131" t="s">
        <v>61</v>
      </c>
      <c r="B1" s="131"/>
      <c r="C1" s="131"/>
      <c r="D1" s="131"/>
    </row>
    <row r="2" spans="1:8" x14ac:dyDescent="0.3">
      <c r="A2" s="132" t="s">
        <v>3</v>
      </c>
      <c r="B2" s="132"/>
      <c r="C2" s="132"/>
      <c r="D2" s="132"/>
      <c r="E2" s="2">
        <f>SUM(E4:E17)-E9</f>
        <v>514.22357546759451</v>
      </c>
      <c r="F2" s="1">
        <f>SUM(F4:F17)-F9</f>
        <v>514</v>
      </c>
      <c r="G2" s="7" t="s">
        <v>4</v>
      </c>
    </row>
    <row r="3" spans="1:8" ht="14.4" customHeight="1" x14ac:dyDescent="0.3">
      <c r="A3" s="133" t="s">
        <v>72</v>
      </c>
      <c r="B3" s="133"/>
      <c r="C3" s="133"/>
      <c r="D3" s="133"/>
      <c r="E3" s="3" t="s">
        <v>0</v>
      </c>
      <c r="F3" t="s">
        <v>0</v>
      </c>
      <c r="G3" t="s">
        <v>1</v>
      </c>
    </row>
    <row r="4" spans="1:8" x14ac:dyDescent="0.3">
      <c r="A4" s="133"/>
      <c r="B4" s="133"/>
      <c r="C4" s="133"/>
      <c r="D4" s="133"/>
      <c r="E4" s="4">
        <f>F4*Технология!I1</f>
        <v>211.09177903436276</v>
      </c>
      <c r="F4" s="6">
        <v>211</v>
      </c>
      <c r="G4" s="5" t="s">
        <v>59</v>
      </c>
    </row>
    <row r="5" spans="1:8" x14ac:dyDescent="0.3">
      <c r="A5" s="133"/>
      <c r="B5" s="133"/>
      <c r="C5" s="133"/>
      <c r="D5" s="133"/>
      <c r="E5" s="4">
        <f>F5*Технология!I1</f>
        <v>211.09177903436276</v>
      </c>
      <c r="F5" s="6">
        <v>211</v>
      </c>
      <c r="G5" s="5" t="s">
        <v>58</v>
      </c>
    </row>
    <row r="6" spans="1:8" x14ac:dyDescent="0.3">
      <c r="A6" s="133"/>
      <c r="B6" s="133"/>
      <c r="C6" s="133"/>
      <c r="D6" s="133"/>
      <c r="E6" s="4">
        <f>F6*Технология!I1</f>
        <v>84.036537625054365</v>
      </c>
      <c r="F6" s="6">
        <v>84</v>
      </c>
      <c r="G6" s="5" t="s">
        <v>62</v>
      </c>
    </row>
    <row r="7" spans="1:8" x14ac:dyDescent="0.3">
      <c r="A7" s="133"/>
      <c r="B7" s="133"/>
      <c r="C7" s="133"/>
      <c r="D7" s="133"/>
      <c r="E7" s="4">
        <f>F7*Технология!I1</f>
        <v>8.0034797738147017</v>
      </c>
      <c r="F7" s="6">
        <v>8</v>
      </c>
      <c r="G7" s="5" t="s">
        <v>71</v>
      </c>
    </row>
    <row r="8" spans="1:8" x14ac:dyDescent="0.3">
      <c r="A8" s="133"/>
      <c r="B8" s="133"/>
      <c r="C8" s="133"/>
      <c r="D8" s="133"/>
      <c r="E8" s="4">
        <f>F8*Технология!I1</f>
        <v>0</v>
      </c>
      <c r="F8" s="6"/>
      <c r="G8" s="5"/>
    </row>
    <row r="9" spans="1:8" x14ac:dyDescent="0.3">
      <c r="A9" s="133"/>
      <c r="B9" s="133"/>
      <c r="C9" s="133"/>
      <c r="D9" s="133"/>
      <c r="E9" s="4">
        <f>F9*Технология!I1</f>
        <v>0</v>
      </c>
      <c r="F9" s="6"/>
      <c r="G9" s="5"/>
    </row>
    <row r="10" spans="1:8" x14ac:dyDescent="0.3">
      <c r="A10" s="133"/>
      <c r="B10" s="133"/>
      <c r="C10" s="133"/>
      <c r="D10" s="133"/>
      <c r="E10" s="4">
        <f>F10*Технология!I1</f>
        <v>0</v>
      </c>
      <c r="F10" s="6"/>
      <c r="G10" s="5"/>
    </row>
    <row r="11" spans="1:8" x14ac:dyDescent="0.3">
      <c r="A11" s="133"/>
      <c r="B11" s="133"/>
      <c r="C11" s="133"/>
      <c r="D11" s="133"/>
      <c r="E11" s="4">
        <f>F11*Технология!I1</f>
        <v>0</v>
      </c>
      <c r="F11" s="6"/>
      <c r="G11" s="5"/>
    </row>
    <row r="12" spans="1:8" x14ac:dyDescent="0.3">
      <c r="A12" s="133"/>
      <c r="B12" s="133"/>
      <c r="C12" s="133"/>
      <c r="D12" s="133"/>
      <c r="E12" s="4">
        <f>F12*Технология!I1</f>
        <v>0</v>
      </c>
      <c r="F12" s="6"/>
      <c r="G12" s="5"/>
      <c r="H12" s="3"/>
    </row>
    <row r="13" spans="1:8" x14ac:dyDescent="0.3">
      <c r="A13" s="133"/>
      <c r="B13" s="133"/>
      <c r="C13" s="133"/>
      <c r="D13" s="133"/>
      <c r="E13" s="4">
        <f>F13*Технология!I1</f>
        <v>0</v>
      </c>
      <c r="F13" s="6"/>
      <c r="G13" s="5"/>
    </row>
    <row r="14" spans="1:8" x14ac:dyDescent="0.3">
      <c r="A14" s="133"/>
      <c r="B14" s="133"/>
      <c r="C14" s="133"/>
      <c r="D14" s="133"/>
      <c r="E14" s="4">
        <f>F14*Технология!I1</f>
        <v>0</v>
      </c>
      <c r="F14" s="5"/>
      <c r="G14" s="5"/>
    </row>
    <row r="15" spans="1:8" x14ac:dyDescent="0.3">
      <c r="A15" s="133"/>
      <c r="B15" s="133"/>
      <c r="C15" s="133"/>
      <c r="D15" s="133"/>
      <c r="E15" s="4">
        <f>F15*Технология!I1</f>
        <v>0</v>
      </c>
      <c r="F15" s="5"/>
      <c r="G15" s="5"/>
    </row>
    <row r="16" spans="1:8" x14ac:dyDescent="0.3">
      <c r="A16" s="133"/>
      <c r="B16" s="133"/>
      <c r="C16" s="133"/>
      <c r="D16" s="133"/>
      <c r="E16" s="4">
        <f>F16*Технология!I1</f>
        <v>0</v>
      </c>
      <c r="F16" s="5"/>
      <c r="G16" s="5"/>
    </row>
    <row r="17" spans="1:7" x14ac:dyDescent="0.3">
      <c r="A17" s="133"/>
      <c r="B17" s="133"/>
      <c r="C17" s="133"/>
      <c r="D17" s="133"/>
      <c r="E17" s="4">
        <f>F17*Технология!I1</f>
        <v>0</v>
      </c>
      <c r="F17" s="5"/>
      <c r="G17" s="5"/>
    </row>
    <row r="18" spans="1:7" x14ac:dyDescent="0.3">
      <c r="A18" s="133"/>
      <c r="B18" s="133"/>
      <c r="C18" s="133"/>
      <c r="D18" s="133"/>
    </row>
    <row r="19" spans="1:7" ht="14.4" customHeight="1" x14ac:dyDescent="0.3">
      <c r="A19" s="133"/>
      <c r="B19" s="133"/>
      <c r="C19" s="133"/>
      <c r="D19" s="133"/>
    </row>
    <row r="20" spans="1:7" x14ac:dyDescent="0.3">
      <c r="A20" s="133"/>
      <c r="B20" s="133"/>
      <c r="C20" s="133"/>
      <c r="D20" s="133"/>
    </row>
    <row r="21" spans="1:7" x14ac:dyDescent="0.3">
      <c r="A21" s="133"/>
      <c r="B21" s="133"/>
      <c r="C21" s="133"/>
      <c r="D21" s="133"/>
    </row>
    <row r="22" spans="1:7" x14ac:dyDescent="0.3">
      <c r="A22" s="133"/>
      <c r="B22" s="133"/>
      <c r="C22" s="133"/>
      <c r="D22" s="133"/>
    </row>
    <row r="23" spans="1:7" x14ac:dyDescent="0.3">
      <c r="A23" s="133"/>
      <c r="B23" s="133"/>
      <c r="C23" s="133"/>
      <c r="D23" s="133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2E407B-8422-417A-8A43-316B354646B8}">
          <x14:formula1>
            <xm:f>'С стоимость'!$A:$A</xm:f>
          </x14:formula1>
          <xm:sqref>G4:G17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DB724-B3C2-4537-9030-B223EE7DD70A}">
  <dimension ref="A1:H23"/>
  <sheetViews>
    <sheetView topLeftCell="A11" workbookViewId="0">
      <selection activeCell="C29" sqref="C29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24.109375" customWidth="1"/>
  </cols>
  <sheetData>
    <row r="1" spans="1:8" x14ac:dyDescent="0.3">
      <c r="A1" s="131" t="s">
        <v>63</v>
      </c>
      <c r="B1" s="131"/>
      <c r="C1" s="131"/>
      <c r="D1" s="131"/>
    </row>
    <row r="2" spans="1:8" x14ac:dyDescent="0.3">
      <c r="A2" s="132" t="s">
        <v>3</v>
      </c>
      <c r="B2" s="132"/>
      <c r="C2" s="132"/>
      <c r="D2" s="132"/>
      <c r="E2" s="2">
        <f>SUM(E4:E17)-E9</f>
        <v>595.25880817746838</v>
      </c>
      <c r="F2" s="1">
        <f>SUM(F4:F17)-F9</f>
        <v>595</v>
      </c>
      <c r="G2" s="7" t="s">
        <v>4</v>
      </c>
    </row>
    <row r="3" spans="1:8" ht="14.4" customHeight="1" x14ac:dyDescent="0.3">
      <c r="A3" s="133" t="s">
        <v>73</v>
      </c>
      <c r="B3" s="133"/>
      <c r="C3" s="133"/>
      <c r="D3" s="133"/>
      <c r="E3" s="3" t="s">
        <v>0</v>
      </c>
      <c r="F3" t="s">
        <v>0</v>
      </c>
      <c r="G3" t="s">
        <v>1</v>
      </c>
    </row>
    <row r="4" spans="1:8" x14ac:dyDescent="0.3">
      <c r="A4" s="133"/>
      <c r="B4" s="133"/>
      <c r="C4" s="133"/>
      <c r="D4" s="133"/>
      <c r="E4" s="4">
        <f>F4*Технология!I1</f>
        <v>211.09177903436276</v>
      </c>
      <c r="F4" s="6">
        <v>211</v>
      </c>
      <c r="G4" s="5" t="s">
        <v>59</v>
      </c>
    </row>
    <row r="5" spans="1:8" x14ac:dyDescent="0.3">
      <c r="A5" s="133"/>
      <c r="B5" s="133"/>
      <c r="C5" s="133"/>
      <c r="D5" s="133"/>
      <c r="E5" s="4">
        <f>F5*Технология!I1</f>
        <v>127.05524140930839</v>
      </c>
      <c r="F5" s="6">
        <v>127</v>
      </c>
      <c r="G5" s="5" t="s">
        <v>62</v>
      </c>
    </row>
    <row r="6" spans="1:8" x14ac:dyDescent="0.3">
      <c r="A6" s="133"/>
      <c r="B6" s="133"/>
      <c r="C6" s="133"/>
      <c r="D6" s="133"/>
      <c r="E6" s="4">
        <f>F6*Технология!I1</f>
        <v>245.10656807307524</v>
      </c>
      <c r="F6" s="6">
        <v>245</v>
      </c>
      <c r="G6" s="5" t="s">
        <v>75</v>
      </c>
    </row>
    <row r="7" spans="1:8" x14ac:dyDescent="0.3">
      <c r="A7" s="133"/>
      <c r="B7" s="133"/>
      <c r="C7" s="133"/>
      <c r="D7" s="133"/>
      <c r="E7" s="4">
        <f>F7*Технология!I1</f>
        <v>8.0034797738147017</v>
      </c>
      <c r="F7" s="6">
        <v>8</v>
      </c>
      <c r="G7" s="5" t="s">
        <v>64</v>
      </c>
    </row>
    <row r="8" spans="1:8" x14ac:dyDescent="0.3">
      <c r="A8" s="133"/>
      <c r="B8" s="133"/>
      <c r="C8" s="133"/>
      <c r="D8" s="133"/>
      <c r="E8" s="4">
        <f>F8*Технология!I1</f>
        <v>4.0017398869073508</v>
      </c>
      <c r="F8" s="6">
        <v>4</v>
      </c>
      <c r="G8" s="5" t="s">
        <v>74</v>
      </c>
    </row>
    <row r="9" spans="1:8" x14ac:dyDescent="0.3">
      <c r="A9" s="133"/>
      <c r="B9" s="133"/>
      <c r="C9" s="133"/>
      <c r="D9" s="133"/>
      <c r="E9" s="4">
        <f>F9*Технология!I1</f>
        <v>0</v>
      </c>
      <c r="F9" s="6"/>
      <c r="G9" s="5"/>
    </row>
    <row r="10" spans="1:8" x14ac:dyDescent="0.3">
      <c r="A10" s="133"/>
      <c r="B10" s="133"/>
      <c r="C10" s="133"/>
      <c r="D10" s="133"/>
      <c r="E10" s="4">
        <f>F10*Технология!I1</f>
        <v>0</v>
      </c>
      <c r="F10" s="6"/>
      <c r="G10" s="5"/>
    </row>
    <row r="11" spans="1:8" x14ac:dyDescent="0.3">
      <c r="A11" s="133"/>
      <c r="B11" s="133"/>
      <c r="C11" s="133"/>
      <c r="D11" s="133"/>
      <c r="E11" s="4">
        <f>F11*Технология!I1</f>
        <v>0</v>
      </c>
      <c r="F11" s="6"/>
      <c r="G11" s="5"/>
    </row>
    <row r="12" spans="1:8" x14ac:dyDescent="0.3">
      <c r="A12" s="133"/>
      <c r="B12" s="133"/>
      <c r="C12" s="133"/>
      <c r="D12" s="133"/>
      <c r="E12" s="4">
        <f>F12*Технология!I1</f>
        <v>0</v>
      </c>
      <c r="F12" s="6"/>
      <c r="G12" s="5"/>
      <c r="H12" s="3"/>
    </row>
    <row r="13" spans="1:8" x14ac:dyDescent="0.3">
      <c r="A13" s="133"/>
      <c r="B13" s="133"/>
      <c r="C13" s="133"/>
      <c r="D13" s="133"/>
      <c r="E13" s="4">
        <f>F13*Технология!I1</f>
        <v>0</v>
      </c>
      <c r="F13" s="6"/>
      <c r="G13" s="5"/>
    </row>
    <row r="14" spans="1:8" x14ac:dyDescent="0.3">
      <c r="A14" s="133"/>
      <c r="B14" s="133"/>
      <c r="C14" s="133"/>
      <c r="D14" s="133"/>
      <c r="E14" s="4">
        <f>F14*Технология!I1</f>
        <v>0</v>
      </c>
      <c r="F14" s="5"/>
      <c r="G14" s="5"/>
    </row>
    <row r="15" spans="1:8" x14ac:dyDescent="0.3">
      <c r="A15" s="133"/>
      <c r="B15" s="133"/>
      <c r="C15" s="133"/>
      <c r="D15" s="133"/>
      <c r="E15" s="4">
        <f>F15*Технология!I1</f>
        <v>0</v>
      </c>
      <c r="F15" s="5"/>
      <c r="G15" s="5"/>
    </row>
    <row r="16" spans="1:8" x14ac:dyDescent="0.3">
      <c r="A16" s="133"/>
      <c r="B16" s="133"/>
      <c r="C16" s="133"/>
      <c r="D16" s="133"/>
      <c r="E16" s="4">
        <f>F16*Технология!I1</f>
        <v>0</v>
      </c>
      <c r="F16" s="5"/>
      <c r="G16" s="5"/>
    </row>
    <row r="17" spans="1:7" x14ac:dyDescent="0.3">
      <c r="A17" s="133"/>
      <c r="B17" s="133"/>
      <c r="C17" s="133"/>
      <c r="D17" s="133"/>
      <c r="E17" s="4">
        <f>F17*Технология!I1</f>
        <v>0</v>
      </c>
      <c r="F17" s="5"/>
      <c r="G17" s="5"/>
    </row>
    <row r="18" spans="1:7" x14ac:dyDescent="0.3">
      <c r="A18" s="133"/>
      <c r="B18" s="133"/>
      <c r="C18" s="133"/>
      <c r="D18" s="133"/>
    </row>
    <row r="19" spans="1:7" ht="14.4" customHeight="1" x14ac:dyDescent="0.3">
      <c r="A19" s="133"/>
      <c r="B19" s="133"/>
      <c r="C19" s="133"/>
      <c r="D19" s="133"/>
    </row>
    <row r="20" spans="1:7" x14ac:dyDescent="0.3">
      <c r="A20" s="133"/>
      <c r="B20" s="133"/>
      <c r="C20" s="133"/>
      <c r="D20" s="133"/>
    </row>
    <row r="21" spans="1:7" x14ac:dyDescent="0.3">
      <c r="A21" s="133"/>
      <c r="B21" s="133"/>
      <c r="C21" s="133"/>
      <c r="D21" s="133"/>
    </row>
    <row r="22" spans="1:7" x14ac:dyDescent="0.3">
      <c r="A22" s="133"/>
      <c r="B22" s="133"/>
      <c r="C22" s="133"/>
      <c r="D22" s="133"/>
    </row>
    <row r="23" spans="1:7" x14ac:dyDescent="0.3">
      <c r="A23" s="133"/>
      <c r="B23" s="133"/>
      <c r="C23" s="133"/>
      <c r="D23" s="133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29086F-C04A-4E58-A185-2CAAC1C77E98}">
          <x14:formula1>
            <xm:f>'С стоимость'!$A:$A</xm:f>
          </x14:formula1>
          <xm:sqref>G4:G17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3045-4BA0-417B-8760-AA16E48BC04F}">
  <dimension ref="A1:H23"/>
  <sheetViews>
    <sheetView workbookViewId="0">
      <selection activeCell="H1" sqref="H1:H1048576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23.33203125" customWidth="1"/>
  </cols>
  <sheetData>
    <row r="1" spans="1:8" x14ac:dyDescent="0.3">
      <c r="A1" s="131" t="s">
        <v>65</v>
      </c>
      <c r="B1" s="131"/>
      <c r="C1" s="131"/>
      <c r="D1" s="131"/>
    </row>
    <row r="2" spans="1:8" x14ac:dyDescent="0.3">
      <c r="A2" s="132" t="s">
        <v>3</v>
      </c>
      <c r="B2" s="132"/>
      <c r="C2" s="132"/>
      <c r="D2" s="132"/>
      <c r="E2" s="2">
        <f>SUM(E4:E17)-E9</f>
        <v>136.05915615484992</v>
      </c>
      <c r="F2" s="1">
        <f>SUM(F4:F17)-F9</f>
        <v>136</v>
      </c>
      <c r="G2" s="7" t="s">
        <v>4</v>
      </c>
    </row>
    <row r="3" spans="1:8" ht="14.4" customHeight="1" x14ac:dyDescent="0.3">
      <c r="A3" s="133" t="s">
        <v>67</v>
      </c>
      <c r="B3" s="133"/>
      <c r="C3" s="133"/>
      <c r="D3" s="133"/>
      <c r="E3" s="3" t="s">
        <v>0</v>
      </c>
      <c r="F3" t="s">
        <v>0</v>
      </c>
      <c r="G3" t="s">
        <v>1</v>
      </c>
    </row>
    <row r="4" spans="1:8" x14ac:dyDescent="0.3">
      <c r="A4" s="133"/>
      <c r="B4" s="133"/>
      <c r="C4" s="133"/>
      <c r="D4" s="133"/>
      <c r="E4" s="4">
        <f>F4*Технология!I1</f>
        <v>68.029578077424958</v>
      </c>
      <c r="F4" s="6">
        <v>68</v>
      </c>
      <c r="G4" s="5" t="s">
        <v>62</v>
      </c>
    </row>
    <row r="5" spans="1:8" x14ac:dyDescent="0.3">
      <c r="A5" s="133"/>
      <c r="B5" s="133"/>
      <c r="C5" s="133"/>
      <c r="D5" s="133"/>
      <c r="E5" s="4">
        <f>F5*Технология!I1</f>
        <v>51.022183558068726</v>
      </c>
      <c r="F5" s="6">
        <v>51</v>
      </c>
      <c r="G5" s="5" t="s">
        <v>13</v>
      </c>
    </row>
    <row r="6" spans="1:8" x14ac:dyDescent="0.3">
      <c r="A6" s="133"/>
      <c r="B6" s="133"/>
      <c r="C6" s="133"/>
      <c r="D6" s="133"/>
      <c r="E6" s="4">
        <f>F6*Технология!I1</f>
        <v>17.007394519356239</v>
      </c>
      <c r="F6" s="6">
        <v>17</v>
      </c>
      <c r="G6" s="5" t="s">
        <v>66</v>
      </c>
    </row>
    <row r="7" spans="1:8" x14ac:dyDescent="0.3">
      <c r="A7" s="133"/>
      <c r="B7" s="133"/>
      <c r="C7" s="133"/>
      <c r="D7" s="133"/>
      <c r="E7" s="4">
        <f>F7*Технология!I1</f>
        <v>0</v>
      </c>
      <c r="F7" s="6"/>
      <c r="G7" s="5"/>
    </row>
    <row r="8" spans="1:8" x14ac:dyDescent="0.3">
      <c r="A8" s="133"/>
      <c r="B8" s="133"/>
      <c r="C8" s="133"/>
      <c r="D8" s="133"/>
      <c r="E8" s="4">
        <f>F8*Технология!I1</f>
        <v>0</v>
      </c>
      <c r="F8" s="6"/>
      <c r="G8" s="5"/>
    </row>
    <row r="9" spans="1:8" x14ac:dyDescent="0.3">
      <c r="A9" s="133"/>
      <c r="B9" s="133"/>
      <c r="C9" s="133"/>
      <c r="D9" s="133"/>
      <c r="E9" s="4">
        <f>F9*Технология!I1</f>
        <v>0</v>
      </c>
      <c r="F9" s="6"/>
      <c r="G9" s="5"/>
    </row>
    <row r="10" spans="1:8" x14ac:dyDescent="0.3">
      <c r="A10" s="133"/>
      <c r="B10" s="133"/>
      <c r="C10" s="133"/>
      <c r="D10" s="133"/>
      <c r="E10" s="4">
        <f>F10*Технология!I1</f>
        <v>0</v>
      </c>
      <c r="F10" s="6"/>
      <c r="G10" s="5"/>
    </row>
    <row r="11" spans="1:8" x14ac:dyDescent="0.3">
      <c r="A11" s="133"/>
      <c r="B11" s="133"/>
      <c r="C11" s="133"/>
      <c r="D11" s="133"/>
      <c r="E11" s="4">
        <f>F11*Технология!I1</f>
        <v>0</v>
      </c>
      <c r="F11" s="6"/>
      <c r="G11" s="5"/>
    </row>
    <row r="12" spans="1:8" x14ac:dyDescent="0.3">
      <c r="A12" s="133"/>
      <c r="B12" s="133"/>
      <c r="C12" s="133"/>
      <c r="D12" s="133"/>
      <c r="E12" s="4">
        <f>F12*Технология!I1</f>
        <v>0</v>
      </c>
      <c r="F12" s="6"/>
      <c r="G12" s="5"/>
      <c r="H12" s="3"/>
    </row>
    <row r="13" spans="1:8" x14ac:dyDescent="0.3">
      <c r="A13" s="133"/>
      <c r="B13" s="133"/>
      <c r="C13" s="133"/>
      <c r="D13" s="133"/>
      <c r="E13" s="4">
        <f>F13*Технология!I1</f>
        <v>0</v>
      </c>
      <c r="F13" s="6"/>
      <c r="G13" s="5"/>
    </row>
    <row r="14" spans="1:8" x14ac:dyDescent="0.3">
      <c r="A14" s="133"/>
      <c r="B14" s="133"/>
      <c r="C14" s="133"/>
      <c r="D14" s="133"/>
      <c r="E14" s="4">
        <f>F14*Технология!I1</f>
        <v>0</v>
      </c>
      <c r="F14" s="5"/>
      <c r="G14" s="5"/>
    </row>
    <row r="15" spans="1:8" x14ac:dyDescent="0.3">
      <c r="A15" s="133"/>
      <c r="B15" s="133"/>
      <c r="C15" s="133"/>
      <c r="D15" s="133"/>
      <c r="E15" s="4">
        <f>F15*Технология!I1</f>
        <v>0</v>
      </c>
      <c r="F15" s="5"/>
      <c r="G15" s="5"/>
    </row>
    <row r="16" spans="1:8" x14ac:dyDescent="0.3">
      <c r="A16" s="133"/>
      <c r="B16" s="133"/>
      <c r="C16" s="133"/>
      <c r="D16" s="133"/>
      <c r="E16" s="4">
        <f>F16*Технология!I1</f>
        <v>0</v>
      </c>
      <c r="F16" s="5"/>
      <c r="G16" s="5"/>
    </row>
    <row r="17" spans="1:7" x14ac:dyDescent="0.3">
      <c r="A17" s="133"/>
      <c r="B17" s="133"/>
      <c r="C17" s="133"/>
      <c r="D17" s="133"/>
      <c r="E17" s="4">
        <f>F17*Технология!I1</f>
        <v>0</v>
      </c>
      <c r="F17" s="5"/>
      <c r="G17" s="5"/>
    </row>
    <row r="18" spans="1:7" x14ac:dyDescent="0.3">
      <c r="A18" s="133"/>
      <c r="B18" s="133"/>
      <c r="C18" s="133"/>
      <c r="D18" s="133"/>
    </row>
    <row r="19" spans="1:7" ht="14.4" customHeight="1" x14ac:dyDescent="0.3">
      <c r="A19" s="133"/>
      <c r="B19" s="133"/>
      <c r="C19" s="133"/>
      <c r="D19" s="133"/>
    </row>
    <row r="20" spans="1:7" x14ac:dyDescent="0.3">
      <c r="A20" s="133"/>
      <c r="B20" s="133"/>
      <c r="C20" s="133"/>
      <c r="D20" s="133"/>
    </row>
    <row r="21" spans="1:7" x14ac:dyDescent="0.3">
      <c r="A21" s="133"/>
      <c r="B21" s="133"/>
      <c r="C21" s="133"/>
      <c r="D21" s="133"/>
    </row>
    <row r="22" spans="1:7" x14ac:dyDescent="0.3">
      <c r="A22" s="133"/>
      <c r="B22" s="133"/>
      <c r="C22" s="133"/>
      <c r="D22" s="133"/>
    </row>
    <row r="23" spans="1:7" x14ac:dyDescent="0.3">
      <c r="A23" s="133"/>
      <c r="B23" s="133"/>
      <c r="C23" s="133"/>
      <c r="D23" s="133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3DCF78-E74E-48B4-9227-8DB25305CCD6}">
          <x14:formula1>
            <xm:f>'С стоимость'!$A:$A</xm:f>
          </x14:formula1>
          <xm:sqref>G4:G17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F0E2-BA19-4530-9EE9-9DFF96F3925D}">
  <dimension ref="A1:H23"/>
  <sheetViews>
    <sheetView workbookViewId="0">
      <selection activeCell="H1" sqref="H1:H1048576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19.6640625" customWidth="1"/>
  </cols>
  <sheetData>
    <row r="1" spans="1:8" x14ac:dyDescent="0.3">
      <c r="A1" s="131" t="s">
        <v>68</v>
      </c>
      <c r="B1" s="131"/>
      <c r="C1" s="131"/>
      <c r="D1" s="131"/>
    </row>
    <row r="2" spans="1:8" x14ac:dyDescent="0.3">
      <c r="A2" s="132" t="s">
        <v>3</v>
      </c>
      <c r="B2" s="132"/>
      <c r="C2" s="132"/>
      <c r="D2" s="132"/>
      <c r="E2" s="2">
        <f>SUM(E4:E17)-E9</f>
        <v>68.029578077424958</v>
      </c>
      <c r="F2" s="1">
        <f>SUM(F4:F17)-F9</f>
        <v>68</v>
      </c>
      <c r="G2" s="7" t="s">
        <v>4</v>
      </c>
    </row>
    <row r="3" spans="1:8" ht="14.4" customHeight="1" x14ac:dyDescent="0.3">
      <c r="A3" s="133" t="s">
        <v>69</v>
      </c>
      <c r="B3" s="133"/>
      <c r="C3" s="133"/>
      <c r="D3" s="133"/>
      <c r="E3" s="3" t="s">
        <v>0</v>
      </c>
      <c r="F3" t="s">
        <v>0</v>
      </c>
      <c r="G3" t="s">
        <v>1</v>
      </c>
    </row>
    <row r="4" spans="1:8" x14ac:dyDescent="0.3">
      <c r="A4" s="133"/>
      <c r="B4" s="133"/>
      <c r="C4" s="133"/>
      <c r="D4" s="133"/>
      <c r="E4" s="4">
        <f>F4*Технология!I1</f>
        <v>51.022183558068726</v>
      </c>
      <c r="F4" s="6">
        <v>51</v>
      </c>
      <c r="G4" s="5" t="s">
        <v>55</v>
      </c>
    </row>
    <row r="5" spans="1:8" x14ac:dyDescent="0.3">
      <c r="A5" s="133"/>
      <c r="B5" s="133"/>
      <c r="C5" s="133"/>
      <c r="D5" s="133"/>
      <c r="E5" s="4">
        <f>F5*Технология!I1</f>
        <v>13.00565463244889</v>
      </c>
      <c r="F5" s="6">
        <v>13</v>
      </c>
      <c r="G5" s="5" t="s">
        <v>62</v>
      </c>
    </row>
    <row r="6" spans="1:8" x14ac:dyDescent="0.3">
      <c r="A6" s="133"/>
      <c r="B6" s="133"/>
      <c r="C6" s="133"/>
      <c r="D6" s="133"/>
      <c r="E6" s="4">
        <f>F6*Технология!I1</f>
        <v>4.0017398869073508</v>
      </c>
      <c r="F6" s="6">
        <v>4</v>
      </c>
      <c r="G6" s="5" t="s">
        <v>54</v>
      </c>
    </row>
    <row r="7" spans="1:8" x14ac:dyDescent="0.3">
      <c r="A7" s="133"/>
      <c r="B7" s="133"/>
      <c r="C7" s="133"/>
      <c r="D7" s="133"/>
      <c r="E7" s="4">
        <f>F7*Технология!I1</f>
        <v>0</v>
      </c>
      <c r="F7" s="6"/>
      <c r="G7" s="5"/>
    </row>
    <row r="8" spans="1:8" x14ac:dyDescent="0.3">
      <c r="A8" s="133"/>
      <c r="B8" s="133"/>
      <c r="C8" s="133"/>
      <c r="D8" s="133"/>
      <c r="E8" s="4">
        <f>F8*Технология!I1</f>
        <v>0</v>
      </c>
      <c r="F8" s="6"/>
      <c r="G8" s="5"/>
    </row>
    <row r="9" spans="1:8" x14ac:dyDescent="0.3">
      <c r="A9" s="133"/>
      <c r="B9" s="133"/>
      <c r="C9" s="133"/>
      <c r="D9" s="133"/>
      <c r="E9" s="4">
        <f>F9*Технология!I1</f>
        <v>0</v>
      </c>
      <c r="F9" s="6"/>
      <c r="G9" s="5"/>
    </row>
    <row r="10" spans="1:8" x14ac:dyDescent="0.3">
      <c r="A10" s="133"/>
      <c r="B10" s="133"/>
      <c r="C10" s="133"/>
      <c r="D10" s="133"/>
      <c r="E10" s="4">
        <f>F10*Технология!I1</f>
        <v>0</v>
      </c>
      <c r="F10" s="6"/>
      <c r="G10" s="5"/>
    </row>
    <row r="11" spans="1:8" x14ac:dyDescent="0.3">
      <c r="A11" s="133"/>
      <c r="B11" s="133"/>
      <c r="C11" s="133"/>
      <c r="D11" s="133"/>
      <c r="E11" s="4">
        <f>F11*Технология!I1</f>
        <v>0</v>
      </c>
      <c r="F11" s="6"/>
      <c r="G11" s="5"/>
    </row>
    <row r="12" spans="1:8" x14ac:dyDescent="0.3">
      <c r="A12" s="133"/>
      <c r="B12" s="133"/>
      <c r="C12" s="133"/>
      <c r="D12" s="133"/>
      <c r="E12" s="4">
        <f>F12*Технология!I1</f>
        <v>0</v>
      </c>
      <c r="F12" s="6"/>
      <c r="G12" s="5"/>
      <c r="H12" s="3"/>
    </row>
    <row r="13" spans="1:8" x14ac:dyDescent="0.3">
      <c r="A13" s="133"/>
      <c r="B13" s="133"/>
      <c r="C13" s="133"/>
      <c r="D13" s="133"/>
      <c r="E13" s="4">
        <f>F13*Технология!I1</f>
        <v>0</v>
      </c>
      <c r="F13" s="6"/>
      <c r="G13" s="5"/>
    </row>
    <row r="14" spans="1:8" x14ac:dyDescent="0.3">
      <c r="A14" s="133"/>
      <c r="B14" s="133"/>
      <c r="C14" s="133"/>
      <c r="D14" s="133"/>
      <c r="E14" s="4">
        <f>F14*Технология!I1</f>
        <v>0</v>
      </c>
      <c r="F14" s="5"/>
      <c r="G14" s="5"/>
    </row>
    <row r="15" spans="1:8" x14ac:dyDescent="0.3">
      <c r="A15" s="133"/>
      <c r="B15" s="133"/>
      <c r="C15" s="133"/>
      <c r="D15" s="133"/>
      <c r="E15" s="4">
        <f>F15*Технология!I1</f>
        <v>0</v>
      </c>
      <c r="F15" s="5"/>
      <c r="G15" s="5"/>
    </row>
    <row r="16" spans="1:8" x14ac:dyDescent="0.3">
      <c r="A16" s="133"/>
      <c r="B16" s="133"/>
      <c r="C16" s="133"/>
      <c r="D16" s="133"/>
      <c r="E16" s="4">
        <f>F16*Технология!I1</f>
        <v>0</v>
      </c>
      <c r="F16" s="5"/>
      <c r="G16" s="5"/>
    </row>
    <row r="17" spans="1:7" x14ac:dyDescent="0.3">
      <c r="A17" s="133"/>
      <c r="B17" s="133"/>
      <c r="C17" s="133"/>
      <c r="D17" s="133"/>
      <c r="E17" s="4">
        <f>F17*Технология!I1</f>
        <v>0</v>
      </c>
      <c r="F17" s="5"/>
      <c r="G17" s="5"/>
    </row>
    <row r="18" spans="1:7" x14ac:dyDescent="0.3">
      <c r="A18" s="133"/>
      <c r="B18" s="133"/>
      <c r="C18" s="133"/>
      <c r="D18" s="133"/>
    </row>
    <row r="19" spans="1:7" ht="14.4" customHeight="1" x14ac:dyDescent="0.3">
      <c r="A19" s="133"/>
      <c r="B19" s="133"/>
      <c r="C19" s="133"/>
      <c r="D19" s="133"/>
    </row>
    <row r="20" spans="1:7" x14ac:dyDescent="0.3">
      <c r="A20" s="133"/>
      <c r="B20" s="133"/>
      <c r="C20" s="133"/>
      <c r="D20" s="133"/>
    </row>
    <row r="21" spans="1:7" x14ac:dyDescent="0.3">
      <c r="A21" s="133"/>
      <c r="B21" s="133"/>
      <c r="C21" s="133"/>
      <c r="D21" s="133"/>
    </row>
    <row r="22" spans="1:7" x14ac:dyDescent="0.3">
      <c r="A22" s="133"/>
      <c r="B22" s="133"/>
      <c r="C22" s="133"/>
      <c r="D22" s="133"/>
    </row>
    <row r="23" spans="1:7" x14ac:dyDescent="0.3">
      <c r="A23" s="133"/>
      <c r="B23" s="133"/>
      <c r="C23" s="133"/>
      <c r="D23" s="133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C86FA8-94D5-40B5-AB7C-FB0E473E579B}">
          <x14:formula1>
            <xm:f>'С стоимость'!$A:$A</xm:f>
          </x14:formula1>
          <xm:sqref>G4:G17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972F-692C-418E-A0DD-E698F36E59BF}">
  <dimension ref="A1:H23"/>
  <sheetViews>
    <sheetView workbookViewId="0">
      <selection sqref="A1:G23"/>
    </sheetView>
  </sheetViews>
  <sheetFormatPr defaultRowHeight="14.4" x14ac:dyDescent="0.3"/>
  <cols>
    <col min="1" max="2" width="8.77734375" customWidth="1"/>
    <col min="3" max="3" width="19.109375" customWidth="1"/>
    <col min="4" max="4" width="8.88671875" style="3"/>
    <col min="7" max="7" width="24.33203125" customWidth="1"/>
  </cols>
  <sheetData>
    <row r="1" spans="1:8" x14ac:dyDescent="0.3">
      <c r="A1" s="131" t="s">
        <v>12</v>
      </c>
      <c r="B1" s="131"/>
      <c r="C1" s="131"/>
      <c r="D1" s="131"/>
    </row>
    <row r="2" spans="1:8" x14ac:dyDescent="0.3">
      <c r="A2" s="132" t="s">
        <v>3</v>
      </c>
      <c r="B2" s="132"/>
      <c r="C2" s="132"/>
      <c r="D2" s="132"/>
      <c r="E2" s="2">
        <f>SUM(E4:E17)-E9</f>
        <v>0</v>
      </c>
      <c r="F2" s="1">
        <f>SUM(F4:F17)-F9</f>
        <v>0</v>
      </c>
      <c r="G2" s="7" t="s">
        <v>4</v>
      </c>
    </row>
    <row r="3" spans="1:8" x14ac:dyDescent="0.3">
      <c r="A3" s="133"/>
      <c r="B3" s="133"/>
      <c r="C3" s="133"/>
      <c r="D3" s="133"/>
      <c r="E3" s="3" t="s">
        <v>0</v>
      </c>
      <c r="F3" t="s">
        <v>0</v>
      </c>
      <c r="G3" t="s">
        <v>1</v>
      </c>
    </row>
    <row r="4" spans="1:8" x14ac:dyDescent="0.3">
      <c r="A4" s="133"/>
      <c r="B4" s="133"/>
      <c r="C4" s="133"/>
      <c r="D4" s="133"/>
      <c r="E4" s="4">
        <f>F4*Технология!I1</f>
        <v>0</v>
      </c>
      <c r="F4" s="6"/>
      <c r="G4" s="5"/>
    </row>
    <row r="5" spans="1:8" x14ac:dyDescent="0.3">
      <c r="A5" s="133"/>
      <c r="B5" s="133"/>
      <c r="C5" s="133"/>
      <c r="D5" s="133"/>
      <c r="E5" s="4">
        <f>F5*Технология!I1</f>
        <v>0</v>
      </c>
      <c r="F5" s="6"/>
      <c r="G5" s="5"/>
    </row>
    <row r="6" spans="1:8" x14ac:dyDescent="0.3">
      <c r="A6" s="133"/>
      <c r="B6" s="133"/>
      <c r="C6" s="133"/>
      <c r="D6" s="133"/>
      <c r="E6" s="4">
        <f>F6*Технология!I1</f>
        <v>0</v>
      </c>
      <c r="F6" s="6"/>
      <c r="G6" s="5"/>
    </row>
    <row r="7" spans="1:8" x14ac:dyDescent="0.3">
      <c r="A7" s="133"/>
      <c r="B7" s="133"/>
      <c r="C7" s="133"/>
      <c r="D7" s="133"/>
      <c r="E7" s="4">
        <f>F7*Технология!I1</f>
        <v>0</v>
      </c>
      <c r="F7" s="6"/>
      <c r="G7" s="5"/>
    </row>
    <row r="8" spans="1:8" x14ac:dyDescent="0.3">
      <c r="A8" s="133"/>
      <c r="B8" s="133"/>
      <c r="C8" s="133"/>
      <c r="D8" s="133"/>
      <c r="E8" s="4">
        <f>F8*Технология!I1</f>
        <v>0</v>
      </c>
      <c r="F8" s="6"/>
      <c r="G8" s="5"/>
    </row>
    <row r="9" spans="1:8" x14ac:dyDescent="0.3">
      <c r="A9" s="133"/>
      <c r="B9" s="133"/>
      <c r="C9" s="133"/>
      <c r="D9" s="133"/>
      <c r="E9" s="4">
        <f>F9*Технология!I1</f>
        <v>0</v>
      </c>
      <c r="F9" s="6"/>
      <c r="G9" s="5"/>
    </row>
    <row r="10" spans="1:8" x14ac:dyDescent="0.3">
      <c r="A10" s="133"/>
      <c r="B10" s="133"/>
      <c r="C10" s="133"/>
      <c r="D10" s="133"/>
      <c r="E10" s="4">
        <f>F10*Технология!I1</f>
        <v>0</v>
      </c>
      <c r="F10" s="6"/>
      <c r="G10" s="5"/>
    </row>
    <row r="11" spans="1:8" x14ac:dyDescent="0.3">
      <c r="A11" s="133"/>
      <c r="B11" s="133"/>
      <c r="C11" s="133"/>
      <c r="D11" s="133"/>
      <c r="E11" s="4">
        <f>F11*Технология!I1</f>
        <v>0</v>
      </c>
      <c r="F11" s="6"/>
      <c r="G11" s="5"/>
    </row>
    <row r="12" spans="1:8" x14ac:dyDescent="0.3">
      <c r="A12" s="133"/>
      <c r="B12" s="133"/>
      <c r="C12" s="133"/>
      <c r="D12" s="133"/>
      <c r="E12" s="4">
        <f>F12*Технология!I1</f>
        <v>0</v>
      </c>
      <c r="F12" s="6"/>
      <c r="G12" s="5"/>
      <c r="H12" s="3"/>
    </row>
    <row r="13" spans="1:8" x14ac:dyDescent="0.3">
      <c r="A13" s="133"/>
      <c r="B13" s="133"/>
      <c r="C13" s="133"/>
      <c r="D13" s="133"/>
      <c r="E13" s="4">
        <f>F13*Технология!I1</f>
        <v>0</v>
      </c>
      <c r="F13" s="6"/>
      <c r="G13" s="5"/>
    </row>
    <row r="14" spans="1:8" x14ac:dyDescent="0.3">
      <c r="A14" s="133"/>
      <c r="B14" s="133"/>
      <c r="C14" s="133"/>
      <c r="D14" s="133"/>
      <c r="E14" s="4">
        <f>F14*Технология!I1</f>
        <v>0</v>
      </c>
      <c r="F14" s="5"/>
      <c r="G14" s="5"/>
    </row>
    <row r="15" spans="1:8" x14ac:dyDescent="0.3">
      <c r="A15" s="133"/>
      <c r="B15" s="133"/>
      <c r="C15" s="133"/>
      <c r="D15" s="133"/>
      <c r="E15" s="4">
        <f>F15*Технология!I1</f>
        <v>0</v>
      </c>
      <c r="F15" s="5"/>
      <c r="G15" s="5"/>
    </row>
    <row r="16" spans="1:8" x14ac:dyDescent="0.3">
      <c r="A16" s="133"/>
      <c r="B16" s="133"/>
      <c r="C16" s="133"/>
      <c r="D16" s="133"/>
      <c r="E16" s="4">
        <f>F16*Технология!I1</f>
        <v>0</v>
      </c>
      <c r="F16" s="5"/>
      <c r="G16" s="5"/>
    </row>
    <row r="17" spans="1:7" x14ac:dyDescent="0.3">
      <c r="A17" s="133"/>
      <c r="B17" s="133"/>
      <c r="C17" s="133"/>
      <c r="D17" s="133"/>
      <c r="E17" s="4">
        <f>F17*Технология!I1</f>
        <v>0</v>
      </c>
      <c r="F17" s="5"/>
      <c r="G17" s="5"/>
    </row>
    <row r="18" spans="1:7" x14ac:dyDescent="0.3">
      <c r="A18" s="133"/>
      <c r="B18" s="133"/>
      <c r="C18" s="133"/>
      <c r="D18" s="133"/>
    </row>
    <row r="19" spans="1:7" ht="14.4" customHeight="1" x14ac:dyDescent="0.3">
      <c r="A19" s="133"/>
      <c r="B19" s="133"/>
      <c r="C19" s="133"/>
      <c r="D19" s="133"/>
    </row>
    <row r="20" spans="1:7" x14ac:dyDescent="0.3">
      <c r="A20" s="133"/>
      <c r="B20" s="133"/>
      <c r="C20" s="133"/>
      <c r="D20" s="133"/>
    </row>
    <row r="21" spans="1:7" x14ac:dyDescent="0.3">
      <c r="A21" s="133"/>
      <c r="B21" s="133"/>
      <c r="C21" s="133"/>
      <c r="D21" s="133"/>
    </row>
    <row r="22" spans="1:7" x14ac:dyDescent="0.3">
      <c r="A22" s="133"/>
      <c r="B22" s="133"/>
      <c r="C22" s="133"/>
      <c r="D22" s="133"/>
    </row>
    <row r="23" spans="1:7" x14ac:dyDescent="0.3">
      <c r="A23" s="133"/>
      <c r="B23" s="133"/>
      <c r="C23" s="133"/>
      <c r="D23" s="133"/>
    </row>
  </sheetData>
  <mergeCells count="3">
    <mergeCell ref="A1:D1"/>
    <mergeCell ref="A2:D2"/>
    <mergeCell ref="A3:D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A62B33-0A26-4056-8BFE-7DFC5B23397A}">
          <x14:formula1>
            <xm:f>'С стоимость'!$A:$A</xm:f>
          </x14:formula1>
          <xm:sqref>G4:G17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8662-8034-4636-BE1B-88DDE6B767ED}">
  <dimension ref="A1:B577"/>
  <sheetViews>
    <sheetView workbookViewId="0">
      <selection activeCell="G152" sqref="G152"/>
    </sheetView>
  </sheetViews>
  <sheetFormatPr defaultRowHeight="14.4" x14ac:dyDescent="0.3"/>
  <cols>
    <col min="1" max="1" width="27" style="35" customWidth="1"/>
  </cols>
  <sheetData>
    <row r="1" spans="1:2" x14ac:dyDescent="0.3">
      <c r="A1" s="34" t="str">
        <f>[1]Лист1!A2</f>
        <v>Бобы тонка</v>
      </c>
      <c r="B1" s="34">
        <f>[1]Лист1!D2</f>
        <v>1000</v>
      </c>
    </row>
    <row r="2" spans="1:2" x14ac:dyDescent="0.3">
      <c r="A2" s="34" t="str">
        <f>[1]Лист1!A3</f>
        <v>Агар-Агар</v>
      </c>
      <c r="B2" s="34">
        <f>[1]Лист1!D3</f>
        <v>1000</v>
      </c>
    </row>
    <row r="3" spans="1:2" x14ac:dyDescent="0.3">
      <c r="A3" s="34" t="str">
        <f>[1]Лист1!A4</f>
        <v>Арахис</v>
      </c>
      <c r="B3" s="34">
        <f>[1]Лист1!D4</f>
        <v>200</v>
      </c>
    </row>
    <row r="4" spans="1:2" x14ac:dyDescent="0.3">
      <c r="A4" s="34" t="str">
        <f>[1]Лист1!A5</f>
        <v>Ваниль (стручок)</v>
      </c>
      <c r="B4" s="34">
        <f>[1]Лист1!D5</f>
        <v>1000</v>
      </c>
    </row>
    <row r="5" spans="1:2" x14ac:dyDescent="0.3">
      <c r="A5" s="34" t="str">
        <f>[1]Лист1!A6</f>
        <v>Ванильный йогурт</v>
      </c>
      <c r="B5" s="34">
        <f>[1]Лист1!D6</f>
        <v>1000</v>
      </c>
    </row>
    <row r="6" spans="1:2" x14ac:dyDescent="0.3">
      <c r="A6" s="34" t="str">
        <f>[1]Лист1!A7</f>
        <v>Ванильный сахар</v>
      </c>
      <c r="B6" s="34">
        <f>[1]Лист1!D7</f>
        <v>8</v>
      </c>
    </row>
    <row r="7" spans="1:2" x14ac:dyDescent="0.3">
      <c r="A7" s="34" t="str">
        <f>[1]Лист1!A8</f>
        <v>Ванильный экстракт</v>
      </c>
      <c r="B7" s="34">
        <f>[1]Лист1!D8</f>
        <v>1000</v>
      </c>
    </row>
    <row r="8" spans="1:2" x14ac:dyDescent="0.3">
      <c r="A8" s="34" t="str">
        <f>[1]Лист1!A9</f>
        <v>Вафли трубочки</v>
      </c>
      <c r="B8" s="34">
        <f>[1]Лист1!D9</f>
        <v>400</v>
      </c>
    </row>
    <row r="9" spans="1:2" x14ac:dyDescent="0.3">
      <c r="A9" s="34" t="str">
        <f>[1]Лист1!A10</f>
        <v>Вода</v>
      </c>
      <c r="B9" s="34">
        <f>[1]Лист1!D10</f>
        <v>1000</v>
      </c>
    </row>
    <row r="10" spans="1:2" x14ac:dyDescent="0.3">
      <c r="A10" s="34" t="str">
        <f>[1]Лист1!A11</f>
        <v>Глюкоза</v>
      </c>
      <c r="B10" s="34">
        <f>[1]Лист1!D11</f>
        <v>300</v>
      </c>
    </row>
    <row r="11" spans="1:2" x14ac:dyDescent="0.3">
      <c r="A11" s="34" t="str">
        <f>[1]Лист1!A12</f>
        <v>Груша очищенная</v>
      </c>
      <c r="B11" s="34">
        <f>[1]Лист1!D12</f>
        <v>1000</v>
      </c>
    </row>
    <row r="12" spans="1:2" x14ac:dyDescent="0.3">
      <c r="A12" s="34" t="str">
        <f>[1]Лист1!A13</f>
        <v>Желатин</v>
      </c>
      <c r="B12" s="34">
        <f>[1]Лист1!D13</f>
        <v>50</v>
      </c>
    </row>
    <row r="13" spans="1:2" x14ac:dyDescent="0.3">
      <c r="A13" s="34" t="str">
        <f>[1]Лист1!A14</f>
        <v>Желатин листовой (г)</v>
      </c>
      <c r="B13" s="34">
        <f>[1]Лист1!D14</f>
        <v>1000</v>
      </c>
    </row>
    <row r="14" spans="1:2" x14ac:dyDescent="0.3">
      <c r="A14" s="34" t="str">
        <f>[1]Лист1!A15</f>
        <v>Желатиновая масса</v>
      </c>
      <c r="B14" s="34">
        <f>[1]Лист1!D15</f>
        <v>1000</v>
      </c>
    </row>
    <row r="15" spans="1:2" x14ac:dyDescent="0.3">
      <c r="A15" s="34" t="str">
        <f>[1]Лист1!A16</f>
        <v>Какао-порошок</v>
      </c>
      <c r="B15" s="34">
        <f>[1]Лист1!D16</f>
        <v>500</v>
      </c>
    </row>
    <row r="16" spans="1:2" x14ac:dyDescent="0.3">
      <c r="A16" s="34" t="str">
        <f>[1]Лист1!A17</f>
        <v>Кипяток</v>
      </c>
      <c r="B16" s="34">
        <f>[1]Лист1!D17</f>
        <v>1000</v>
      </c>
    </row>
    <row r="17" spans="1:2" x14ac:dyDescent="0.3">
      <c r="A17" s="34" t="str">
        <f>[1]Лист1!A18</f>
        <v>Кокосовая стружка</v>
      </c>
      <c r="B17" s="34">
        <f>[1]Лист1!D18</f>
        <v>100</v>
      </c>
    </row>
    <row r="18" spans="1:2" x14ac:dyDescent="0.3">
      <c r="A18" s="34" t="str">
        <f>[1]Лист1!A19</f>
        <v>Корица (г)</v>
      </c>
      <c r="B18" s="34">
        <f>[1]Лист1!D19</f>
        <v>25</v>
      </c>
    </row>
    <row r="19" spans="1:2" x14ac:dyDescent="0.3">
      <c r="A19" s="34" t="str">
        <f>[1]Лист1!A20</f>
        <v>Корица (палочка)</v>
      </c>
      <c r="B19" s="34">
        <f>[1]Лист1!D20</f>
        <v>1000</v>
      </c>
    </row>
    <row r="20" spans="1:2" x14ac:dyDescent="0.3">
      <c r="A20" s="34" t="str">
        <f>[1]Лист1!A21</f>
        <v>Краситель жирорастворимый</v>
      </c>
      <c r="B20" s="34">
        <f>[1]Лист1!D21</f>
        <v>5</v>
      </c>
    </row>
    <row r="21" spans="1:2" x14ac:dyDescent="0.3">
      <c r="A21" s="34" t="str">
        <f>[1]Лист1!A22</f>
        <v>Кукурузный крахмал</v>
      </c>
      <c r="B21" s="34">
        <f>[1]Лист1!D22</f>
        <v>400</v>
      </c>
    </row>
    <row r="22" spans="1:2" x14ac:dyDescent="0.3">
      <c r="A22" s="34" t="str">
        <f>[1]Лист1!A23</f>
        <v>Малина свежемороженая</v>
      </c>
      <c r="B22" s="34">
        <f>[1]Лист1!D23</f>
        <v>1000</v>
      </c>
    </row>
    <row r="23" spans="1:2" x14ac:dyDescent="0.3">
      <c r="A23" s="34" t="str">
        <f>[1]Лист1!A24</f>
        <v>Масло сливочное 82,5%</v>
      </c>
      <c r="B23" s="34">
        <f>[1]Лист1!D24</f>
        <v>1000</v>
      </c>
    </row>
    <row r="24" spans="1:2" x14ac:dyDescent="0.3">
      <c r="A24" s="34" t="str">
        <f>[1]Лист1!A25</f>
        <v>Мед</v>
      </c>
      <c r="B24" s="34">
        <f>[1]Лист1!D25</f>
        <v>3000</v>
      </c>
    </row>
    <row r="25" spans="1:2" x14ac:dyDescent="0.3">
      <c r="A25" s="34" t="str">
        <f>[1]Лист1!A26</f>
        <v>Миндаль</v>
      </c>
      <c r="B25" s="34">
        <f>[1]Лист1!D26</f>
        <v>1000</v>
      </c>
    </row>
    <row r="26" spans="1:2" x14ac:dyDescent="0.3">
      <c r="A26" s="34" t="str">
        <f>[1]Лист1!A27</f>
        <v>Молоко</v>
      </c>
      <c r="B26" s="34">
        <f>[1]Лист1!D27</f>
        <v>1500</v>
      </c>
    </row>
    <row r="27" spans="1:2" x14ac:dyDescent="0.3">
      <c r="A27" s="34" t="str">
        <f>[1]Лист1!A28</f>
        <v>Молоко сгущенное(380 гр)</v>
      </c>
      <c r="B27" s="34">
        <f>[1]Лист1!D28</f>
        <v>380</v>
      </c>
    </row>
    <row r="28" spans="1:2" x14ac:dyDescent="0.3">
      <c r="A28" s="34" t="str">
        <f>[1]Лист1!A29</f>
        <v>Молоко сгущенное (вар)380 гр</v>
      </c>
      <c r="B28" s="34">
        <f>[1]Лист1!D29</f>
        <v>380</v>
      </c>
    </row>
    <row r="29" spans="1:2" x14ac:dyDescent="0.3">
      <c r="A29" s="34" t="str">
        <f>[1]Лист1!A30</f>
        <v>Мука миндальная</v>
      </c>
      <c r="B29" s="34">
        <f>[1]Лист1!D30</f>
        <v>1000</v>
      </c>
    </row>
    <row r="30" spans="1:2" x14ac:dyDescent="0.3">
      <c r="A30" s="34" t="str">
        <f>[1]Лист1!A31</f>
        <v>Мука пшеничная</v>
      </c>
      <c r="B30" s="34">
        <f>[1]Лист1!D31</f>
        <v>2000</v>
      </c>
    </row>
    <row r="31" spans="1:2" x14ac:dyDescent="0.3">
      <c r="A31" s="34" t="str">
        <f>[1]Лист1!A32</f>
        <v>Мука фундучная</v>
      </c>
      <c r="B31" s="34">
        <f>[1]Лист1!D32</f>
        <v>1000</v>
      </c>
    </row>
    <row r="32" spans="1:2" x14ac:dyDescent="0.3">
      <c r="A32" s="34" t="str">
        <f>[1]Лист1!A33</f>
        <v>Мюсли из зерновых продуктов</v>
      </c>
      <c r="B32" s="34">
        <f>[1]Лист1!D33</f>
        <v>1000</v>
      </c>
    </row>
    <row r="33" spans="1:2" x14ac:dyDescent="0.3">
      <c r="A33" s="34" t="str">
        <f>[1]Лист1!A34</f>
        <v>Паста дес. малина</v>
      </c>
      <c r="B33" s="34">
        <f>[1]Лист1!D34</f>
        <v>125</v>
      </c>
    </row>
    <row r="34" spans="1:2" x14ac:dyDescent="0.3">
      <c r="A34" s="34" t="str">
        <f>[1]Лист1!A35</f>
        <v>Пектин NH</v>
      </c>
      <c r="B34" s="34">
        <f>[1]Лист1!D35</f>
        <v>1000</v>
      </c>
    </row>
    <row r="35" spans="1:2" x14ac:dyDescent="0.3">
      <c r="A35" s="34" t="str">
        <f>[1]Лист1!A36</f>
        <v>Масло подсолнечное</v>
      </c>
      <c r="B35" s="34">
        <f>[1]Лист1!D36</f>
        <v>1000</v>
      </c>
    </row>
    <row r="36" spans="1:2" ht="28.8" x14ac:dyDescent="0.3">
      <c r="A36" s="34" t="str">
        <f>[1]Лист1!A37</f>
        <v>Пралине фундучно-миндальное</v>
      </c>
      <c r="B36" s="34">
        <f>[1]Лист1!D37</f>
        <v>1000</v>
      </c>
    </row>
    <row r="37" spans="1:2" x14ac:dyDescent="0.3">
      <c r="A37" s="34" t="str">
        <f>[1]Лист1!A38</f>
        <v>Пюре малиновое</v>
      </c>
      <c r="B37" s="34">
        <f>[1]Лист1!D38</f>
        <v>1000</v>
      </c>
    </row>
    <row r="38" spans="1:2" x14ac:dyDescent="0.3">
      <c r="A38" s="34" t="str">
        <f>[1]Лист1!A39</f>
        <v>Пюре мандариновое</v>
      </c>
      <c r="B38" s="34">
        <f>[1]Лист1!D39</f>
        <v>1000</v>
      </c>
    </row>
    <row r="39" spans="1:2" x14ac:dyDescent="0.3">
      <c r="A39" s="34" t="str">
        <f>[1]Лист1!A40</f>
        <v>Пюре юдзу</v>
      </c>
      <c r="B39" s="34">
        <f>[1]Лист1!D40</f>
        <v>1000</v>
      </c>
    </row>
    <row r="40" spans="1:2" x14ac:dyDescent="0.3">
      <c r="A40" s="34" t="str">
        <f>[1]Лист1!A41</f>
        <v>Разрыхлитель</v>
      </c>
      <c r="B40" s="34">
        <f>[1]Лист1!D41</f>
        <v>10</v>
      </c>
    </row>
    <row r="41" spans="1:2" x14ac:dyDescent="0.3">
      <c r="A41" s="34" t="str">
        <f>[1]Лист1!A42</f>
        <v>Рисовые шарики хрустящие</v>
      </c>
      <c r="B41" s="34">
        <f>[1]Лист1!D42</f>
        <v>1000</v>
      </c>
    </row>
    <row r="42" spans="1:2" x14ac:dyDescent="0.3">
      <c r="A42" s="34" t="str">
        <f>[1]Лист1!A43</f>
        <v>Сахар песок</v>
      </c>
      <c r="B42" s="34">
        <f>[1]Лист1!D43</f>
        <v>1000</v>
      </c>
    </row>
    <row r="43" spans="1:2" x14ac:dyDescent="0.3">
      <c r="A43" s="34" t="str">
        <f>[1]Лист1!A44</f>
        <v>Сахар тростниковый</v>
      </c>
      <c r="B43" s="34">
        <f>[1]Лист1!D44</f>
        <v>1000</v>
      </c>
    </row>
    <row r="44" spans="1:2" x14ac:dyDescent="0.3">
      <c r="A44" s="34" t="str">
        <f>[1]Лист1!A45</f>
        <v>Сахарная пудра</v>
      </c>
      <c r="B44" s="34">
        <f>[1]Лист1!D45</f>
        <v>250</v>
      </c>
    </row>
    <row r="45" spans="1:2" x14ac:dyDescent="0.3">
      <c r="A45" s="34" t="str">
        <f>[1]Лист1!A46</f>
        <v>Сливки 33 – 35%</v>
      </c>
      <c r="B45" s="34">
        <f>[1]Лист1!D46</f>
        <v>344.91</v>
      </c>
    </row>
    <row r="46" spans="1:2" x14ac:dyDescent="0.3">
      <c r="A46" s="34" t="str">
        <f>[1]Лист1!A47</f>
        <v>Сок апельсиновый</v>
      </c>
      <c r="B46" s="34">
        <f>[1]Лист1!D47</f>
        <v>1000</v>
      </c>
    </row>
    <row r="47" spans="1:2" x14ac:dyDescent="0.3">
      <c r="A47" s="34" t="str">
        <f>[1]Лист1!A48</f>
        <v>Соль</v>
      </c>
      <c r="B47" s="34">
        <f>[1]Лист1!D48</f>
        <v>1000</v>
      </c>
    </row>
    <row r="48" spans="1:2" x14ac:dyDescent="0.3">
      <c r="A48" s="34" t="str">
        <f>[1]Лист1!A49</f>
        <v>Маскарпоне сыр</v>
      </c>
      <c r="B48" s="34">
        <f>[1]Лист1!D49</f>
        <v>250</v>
      </c>
    </row>
    <row r="49" spans="1:2" x14ac:dyDescent="0.3">
      <c r="A49" s="34" t="str">
        <f>[1]Лист1!A50</f>
        <v>Фисташка</v>
      </c>
      <c r="B49" s="34">
        <f>[1]Лист1!D50</f>
        <v>1000</v>
      </c>
    </row>
    <row r="50" spans="1:2" x14ac:dyDescent="0.3">
      <c r="A50" s="34" t="str">
        <f>[1]Лист1!A51</f>
        <v>Цедра апельсина (шт.)</v>
      </c>
      <c r="B50" s="34">
        <f>[1]Лист1!D51</f>
        <v>1000</v>
      </c>
    </row>
    <row r="51" spans="1:2" x14ac:dyDescent="0.3">
      <c r="A51" s="34" t="str">
        <f>[1]Лист1!A52</f>
        <v>Цедра лайма (шт.)</v>
      </c>
      <c r="B51" s="34">
        <f>[1]Лист1!D52</f>
        <v>1000</v>
      </c>
    </row>
    <row r="52" spans="1:2" x14ac:dyDescent="0.3">
      <c r="A52" s="34" t="str">
        <f>[1]Лист1!A53</f>
        <v>Шоколад белый</v>
      </c>
      <c r="B52" s="34">
        <f>[1]Лист1!D53</f>
        <v>75</v>
      </c>
    </row>
    <row r="53" spans="1:2" x14ac:dyDescent="0.3">
      <c r="A53" s="34" t="str">
        <f>[1]Лист1!A54</f>
        <v>Шоколад молочный</v>
      </c>
      <c r="B53" s="34">
        <f>[1]Лист1!D54</f>
        <v>200</v>
      </c>
    </row>
    <row r="54" spans="1:2" x14ac:dyDescent="0.3">
      <c r="A54" s="34" t="str">
        <f>[1]Лист1!A55</f>
        <v>Шоколад темный</v>
      </c>
      <c r="B54" s="34">
        <f>[1]Лист1!D55</f>
        <v>82</v>
      </c>
    </row>
    <row r="55" spans="1:2" x14ac:dyDescent="0.3">
      <c r="A55" s="34" t="str">
        <f>[1]Лист1!A56</f>
        <v>Белок (34 г от 1 яйца)</v>
      </c>
      <c r="B55" s="34">
        <f>[1]Лист1!D56</f>
        <v>1020</v>
      </c>
    </row>
    <row r="56" spans="1:2" x14ac:dyDescent="0.3">
      <c r="A56" s="34" t="str">
        <f>[1]Лист1!A57</f>
        <v>Желток (17 г от 1 яйца)</v>
      </c>
      <c r="B56" s="34">
        <f>[1]Лист1!D57</f>
        <v>510</v>
      </c>
    </row>
    <row r="57" spans="1:2" x14ac:dyDescent="0.3">
      <c r="A57" s="34" t="str">
        <f>[1]Лист1!A58</f>
        <v>Яйцо гр (51 гр в 1 яйце)</v>
      </c>
      <c r="B57" s="34">
        <f>[1]Лист1!D58</f>
        <v>1530</v>
      </c>
    </row>
    <row r="58" spans="1:2" x14ac:dyDescent="0.3">
      <c r="A58" s="34" t="str">
        <f>[1]Лист1!A59</f>
        <v>Яйцо (шт)</v>
      </c>
      <c r="B58" s="34">
        <f>[1]Лист1!D59</f>
        <v>30</v>
      </c>
    </row>
    <row r="59" spans="1:2" x14ac:dyDescent="0.3">
      <c r="A59" s="34" t="str">
        <f>[1]Лист1!A60</f>
        <v>Апельсиновая цедра</v>
      </c>
      <c r="B59" s="34">
        <f>[1]Лист1!D60</f>
        <v>1000</v>
      </c>
    </row>
    <row r="60" spans="1:2" x14ac:dyDescent="0.3">
      <c r="A60" s="34" t="str">
        <f>[1]Лист1!A61</f>
        <v>Морковь</v>
      </c>
      <c r="B60" s="34">
        <f>[1]Лист1!D61</f>
        <v>1000</v>
      </c>
    </row>
    <row r="61" spans="1:2" x14ac:dyDescent="0.3">
      <c r="A61" s="34" t="str">
        <f>[1]Лист1!A62</f>
        <v>Коробка для торта</v>
      </c>
      <c r="B61" s="34">
        <f>[1]Лист1!D62</f>
        <v>1</v>
      </c>
    </row>
    <row r="62" spans="1:2" x14ac:dyDescent="0.3">
      <c r="A62" s="34" t="str">
        <f>[1]Лист1!A63</f>
        <v>Пакет фасовочный 12*14</v>
      </c>
      <c r="B62" s="34">
        <f>[1]Лист1!D63</f>
        <v>100</v>
      </c>
    </row>
    <row r="63" spans="1:2" x14ac:dyDescent="0.3">
      <c r="A63" s="34" t="str">
        <f>[1]Лист1!A64</f>
        <v>Кондитерский мешок</v>
      </c>
      <c r="B63" s="34">
        <f>[1]Лист1!D64</f>
        <v>100</v>
      </c>
    </row>
    <row r="64" spans="1:2" x14ac:dyDescent="0.3">
      <c r="A64" s="34" t="str">
        <f>[1]Лист1!A65</f>
        <v>Краска кондитерская</v>
      </c>
      <c r="B64" s="34">
        <f>[1]Лист1!D65</f>
        <v>1000</v>
      </c>
    </row>
    <row r="65" spans="1:2" x14ac:dyDescent="0.3">
      <c r="A65" s="34" t="str">
        <f>[1]Лист1!A66</f>
        <v>Сахар ванильный</v>
      </c>
      <c r="B65" s="34">
        <f>[1]Лист1!D66</f>
        <v>40</v>
      </c>
    </row>
    <row r="66" spans="1:2" x14ac:dyDescent="0.3">
      <c r="A66" s="34" t="str">
        <f>[1]Лист1!A67</f>
        <v>Шпажки маленькие</v>
      </c>
      <c r="B66" s="34">
        <f>[1]Лист1!D67</f>
        <v>50</v>
      </c>
    </row>
    <row r="67" spans="1:2" x14ac:dyDescent="0.3">
      <c r="A67" s="34" t="str">
        <f>[1]Лист1!A68</f>
        <v>Ось (шампур)</v>
      </c>
      <c r="B67" s="34">
        <f>[1]Лист1!D68</f>
        <v>100</v>
      </c>
    </row>
    <row r="68" spans="1:2" x14ac:dyDescent="0.3">
      <c r="A68" s="34" t="str">
        <f>[1]Лист1!A69</f>
        <v>Подложка 2  толщ 30*30 см</v>
      </c>
      <c r="B68" s="34">
        <f>[1]Лист1!D69</f>
        <v>6932.25</v>
      </c>
    </row>
    <row r="69" spans="1:2" x14ac:dyDescent="0.3">
      <c r="A69" s="34" t="str">
        <f>[1]Лист1!A70</f>
        <v>Лимонная кислота</v>
      </c>
      <c r="B69" s="34">
        <f>[1]Лист1!D70</f>
        <v>80</v>
      </c>
    </row>
    <row r="70" spans="1:2" x14ac:dyDescent="0.3">
      <c r="A70" s="34" t="str">
        <f>[1]Лист1!A71</f>
        <v>Электричество</v>
      </c>
      <c r="B70" s="34">
        <f>[1]Лист1!D71</f>
        <v>1</v>
      </c>
    </row>
    <row r="71" spans="1:2" x14ac:dyDescent="0.3">
      <c r="A71" s="34" t="str">
        <f>[1]Лист1!A72</f>
        <v>Зефирные фигурки</v>
      </c>
      <c r="B71" s="34">
        <f>[1]Лист1!D72</f>
        <v>1000</v>
      </c>
    </row>
    <row r="72" spans="1:2" x14ac:dyDescent="0.3">
      <c r="A72" s="34" t="str">
        <f>[1]Лист1!A73</f>
        <v>Палочки для мороженного</v>
      </c>
      <c r="B72" s="34">
        <f>[1]Лист1!D73</f>
        <v>50</v>
      </c>
    </row>
    <row r="73" spans="1:2" x14ac:dyDescent="0.3">
      <c r="A73" s="34" t="str">
        <f>[1]Лист1!A74</f>
        <v>Упаковочная бумага цвет</v>
      </c>
      <c r="B73" s="34">
        <f>[1]Лист1!D74</f>
        <v>100</v>
      </c>
    </row>
    <row r="74" spans="1:2" x14ac:dyDescent="0.3">
      <c r="A74" s="34" t="str">
        <f>[1]Лист1!A75</f>
        <v>Топер</v>
      </c>
      <c r="B74" s="34">
        <f>[1]Лист1!D75</f>
        <v>1</v>
      </c>
    </row>
    <row r="75" spans="1:2" x14ac:dyDescent="0.3">
      <c r="A75" s="34" t="str">
        <f>[1]Лист1!A76</f>
        <v>Кофе растворимый</v>
      </c>
      <c r="B75" s="34">
        <f>[1]Лист1!D76</f>
        <v>1180</v>
      </c>
    </row>
    <row r="76" spans="1:2" x14ac:dyDescent="0.3">
      <c r="A76" s="34" t="str">
        <f>[1]Лист1!A77</f>
        <v>Банан кг (120-150гр)</v>
      </c>
      <c r="B76" s="34">
        <f>[1]Лист1!D77</f>
        <v>1000</v>
      </c>
    </row>
    <row r="77" spans="1:2" x14ac:dyDescent="0.3">
      <c r="A77" s="34" t="str">
        <f>[1]Лист1!A78</f>
        <v>Паста дес. ванильная</v>
      </c>
      <c r="B77" s="34">
        <f>[1]Лист1!D78</f>
        <v>125</v>
      </c>
    </row>
    <row r="78" spans="1:2" x14ac:dyDescent="0.3">
      <c r="A78" s="34" t="str">
        <f>[1]Лист1!A79</f>
        <v>Желе сухое фруктовое</v>
      </c>
      <c r="B78" s="34">
        <f>[1]Лист1!D79</f>
        <v>41</v>
      </c>
    </row>
    <row r="79" spans="1:2" x14ac:dyDescent="0.3">
      <c r="A79" s="34" t="str">
        <f>[1]Лист1!A80</f>
        <v>Паста дес. банан</v>
      </c>
      <c r="B79" s="34">
        <f>[1]Лист1!D80</f>
        <v>125</v>
      </c>
    </row>
    <row r="80" spans="1:2" x14ac:dyDescent="0.3">
      <c r="A80" s="34" t="str">
        <f>[1]Лист1!A81</f>
        <v>Паста дес. клубника</v>
      </c>
      <c r="B80" s="34">
        <f>[1]Лист1!D81</f>
        <v>125</v>
      </c>
    </row>
    <row r="81" spans="1:2" x14ac:dyDescent="0.3">
      <c r="A81" s="34" t="str">
        <f>[1]Лист1!A82</f>
        <v>Паста дес. манго</v>
      </c>
      <c r="B81" s="34">
        <f>[1]Лист1!D82</f>
        <v>125</v>
      </c>
    </row>
    <row r="82" spans="1:2" x14ac:dyDescent="0.3">
      <c r="A82" s="34" t="str">
        <f>[1]Лист1!A83</f>
        <v>Паста дес. апельсин</v>
      </c>
      <c r="B82" s="34">
        <f>[1]Лист1!D83</f>
        <v>125</v>
      </c>
    </row>
    <row r="83" spans="1:2" x14ac:dyDescent="0.3">
      <c r="A83" s="34" t="str">
        <f>[1]Лист1!A84</f>
        <v>Паста дес. мандарин</v>
      </c>
      <c r="B83" s="34">
        <f>[1]Лист1!D84</f>
        <v>125</v>
      </c>
    </row>
    <row r="84" spans="1:2" x14ac:dyDescent="0.3">
      <c r="A84" s="34" t="str">
        <f>[1]Лист1!A85</f>
        <v>Паста дес. маракуйя</v>
      </c>
      <c r="B84" s="34">
        <f>[1]Лист1!D85</f>
        <v>125</v>
      </c>
    </row>
    <row r="85" spans="1:2" x14ac:dyDescent="0.3">
      <c r="A85" s="34" t="str">
        <f>[1]Лист1!A86</f>
        <v>Паста дес. фисташка</v>
      </c>
      <c r="B85" s="34">
        <f>[1]Лист1!D86</f>
        <v>1000</v>
      </c>
    </row>
    <row r="86" spans="1:2" x14ac:dyDescent="0.3">
      <c r="A86" s="34" t="str">
        <f>[1]Лист1!A87</f>
        <v>Краситель пищевой</v>
      </c>
      <c r="B86" s="34">
        <f>[1]Лист1!D87</f>
        <v>125</v>
      </c>
    </row>
    <row r="87" spans="1:2" x14ac:dyDescent="0.3">
      <c r="A87" s="34" t="str">
        <f>[1]Лист1!A88</f>
        <v xml:space="preserve">Печенье бисквитное </v>
      </c>
      <c r="B87" s="34">
        <f>[1]Лист1!D88</f>
        <v>300</v>
      </c>
    </row>
    <row r="88" spans="1:2" x14ac:dyDescent="0.3">
      <c r="A88" s="34" t="str">
        <f>[1]Лист1!A89</f>
        <v>Орех фундук</v>
      </c>
      <c r="B88" s="34">
        <f>[1]Лист1!D89</f>
        <v>100</v>
      </c>
    </row>
    <row r="89" spans="1:2" x14ac:dyDescent="0.3">
      <c r="A89" s="34" t="str">
        <f>[1]Лист1!A90</f>
        <v>Орех кешью</v>
      </c>
      <c r="B89" s="34">
        <f>[1]Лист1!D90</f>
        <v>100</v>
      </c>
    </row>
    <row r="90" spans="1:2" x14ac:dyDescent="0.3">
      <c r="A90" s="34" t="str">
        <f>[1]Лист1!A91</f>
        <v>Орех миндаль</v>
      </c>
      <c r="B90" s="34">
        <f>[1]Лист1!D91</f>
        <v>100</v>
      </c>
    </row>
    <row r="91" spans="1:2" x14ac:dyDescent="0.3">
      <c r="A91" s="34" t="str">
        <f>[1]Лист1!A92</f>
        <v>Орех грецкий</v>
      </c>
      <c r="B91" s="34">
        <f>[1]Лист1!D92</f>
        <v>1000</v>
      </c>
    </row>
    <row r="92" spans="1:2" x14ac:dyDescent="0.3">
      <c r="A92" s="34" t="str">
        <f>[1]Лист1!A93</f>
        <v>Орех арахис</v>
      </c>
      <c r="B92" s="34">
        <f>[1]Лист1!D93</f>
        <v>1</v>
      </c>
    </row>
    <row r="93" spans="1:2" x14ac:dyDescent="0.3">
      <c r="A93" s="34" t="str">
        <f>[1]Лист1!A94</f>
        <v>Кефир</v>
      </c>
      <c r="B93" s="34">
        <f>[1]Лист1!D94</f>
        <v>900</v>
      </c>
    </row>
    <row r="94" spans="1:2" x14ac:dyDescent="0.3">
      <c r="A94" s="34" t="str">
        <f>[1]Лист1!A95</f>
        <v>Сода пищевая</v>
      </c>
      <c r="B94" s="34">
        <f>[1]Лист1!D95</f>
        <v>500</v>
      </c>
    </row>
    <row r="95" spans="1:2" x14ac:dyDescent="0.3">
      <c r="A95" s="34" t="str">
        <f>[1]Лист1!A96</f>
        <v xml:space="preserve">Шарики рисовые в глазури </v>
      </c>
      <c r="B95" s="34">
        <f>[1]Лист1!D96</f>
        <v>1</v>
      </c>
    </row>
    <row r="96" spans="1:2" x14ac:dyDescent="0.3">
      <c r="A96" s="34" t="str">
        <f>[1]Лист1!A97</f>
        <v>Банан шт</v>
      </c>
      <c r="B96" s="34">
        <f>[1]Лист1!D97</f>
        <v>1</v>
      </c>
    </row>
    <row r="97" spans="1:2" x14ac:dyDescent="0.3">
      <c r="A97" s="34" t="str">
        <f>[1]Лист1!A98</f>
        <v>Сметана (25-35%)</v>
      </c>
      <c r="B97" s="34">
        <f>[1]Лист1!D98</f>
        <v>500</v>
      </c>
    </row>
    <row r="98" spans="1:2" x14ac:dyDescent="0.3">
      <c r="A98" s="34" t="str">
        <f>[1]Лист1!A99</f>
        <v>Дрожжи</v>
      </c>
      <c r="B98" s="34">
        <f>[1]Лист1!D99</f>
        <v>11</v>
      </c>
    </row>
    <row r="99" spans="1:2" x14ac:dyDescent="0.3">
      <c r="A99" s="34" t="str">
        <f>[1]Лист1!A100</f>
        <v>Цукаты</v>
      </c>
      <c r="B99" s="34">
        <f>[1]Лист1!D100</f>
        <v>200</v>
      </c>
    </row>
    <row r="100" spans="1:2" x14ac:dyDescent="0.3">
      <c r="A100" s="34" t="str">
        <f>[1]Лист1!A101</f>
        <v>Посыпка кондитерская</v>
      </c>
      <c r="B100" s="34">
        <f>[1]Лист1!D101</f>
        <v>170</v>
      </c>
    </row>
    <row r="101" spans="1:2" x14ac:dyDescent="0.3">
      <c r="A101" s="34" t="str">
        <f>[1]Лист1!A102</f>
        <v>Форма пасх диам 90 выс 90</v>
      </c>
      <c r="B101" s="34">
        <f>[1]Лист1!D102</f>
        <v>4</v>
      </c>
    </row>
    <row r="102" spans="1:2" x14ac:dyDescent="0.3">
      <c r="A102" s="34" t="str">
        <f>[1]Лист1!A103</f>
        <v>Форма пасх диам 124 выс 90</v>
      </c>
      <c r="B102" s="34">
        <f>[1]Лист1!D103</f>
        <v>4</v>
      </c>
    </row>
    <row r="103" spans="1:2" x14ac:dyDescent="0.3">
      <c r="A103" s="34" t="str">
        <f>[1]Лист1!A104</f>
        <v>Ленты</v>
      </c>
      <c r="B103" s="34">
        <f>[1]Лист1!D104</f>
        <v>1</v>
      </c>
    </row>
    <row r="104" spans="1:2" x14ac:dyDescent="0.3">
      <c r="A104" s="34" t="str">
        <f>[1]Лист1!A105</f>
        <v>БЗК</v>
      </c>
      <c r="B104" s="34">
        <f>[1]Лист1!D105</f>
        <v>1000</v>
      </c>
    </row>
    <row r="105" spans="1:2" x14ac:dyDescent="0.3">
      <c r="A105" s="34" t="str">
        <f>[1]Лист1!A106</f>
        <v>Изюм</v>
      </c>
      <c r="B105" s="34">
        <f>[1]Лист1!D106</f>
        <v>1000</v>
      </c>
    </row>
    <row r="106" spans="1:2" x14ac:dyDescent="0.3">
      <c r="A106" s="34" t="str">
        <f>[1]Лист1!A107</f>
        <v>Сушеные ягоды</v>
      </c>
      <c r="B106" s="34">
        <f>[1]Лист1!D107</f>
        <v>1</v>
      </c>
    </row>
    <row r="107" spans="1:2" ht="28.8" x14ac:dyDescent="0.3">
      <c r="A107" s="34" t="str">
        <f>[1]Лист1!A108</f>
        <v>Пасхольные зефирный веночек</v>
      </c>
      <c r="B107" s="34">
        <f>[1]Лист1!D108</f>
        <v>1</v>
      </c>
    </row>
    <row r="108" spans="1:2" ht="28.8" x14ac:dyDescent="0.3">
      <c r="A108" s="34" t="str">
        <f>[1]Лист1!A109</f>
        <v>Пасхальная выпечка форма 90*90 на 260 грамм</v>
      </c>
      <c r="B108" s="34">
        <f>[1]Лист1!D109</f>
        <v>1</v>
      </c>
    </row>
    <row r="109" spans="1:2" ht="28.8" x14ac:dyDescent="0.3">
      <c r="A109" s="34" t="str">
        <f>[1]Лист1!A110</f>
        <v>Пасхальная выпечка форма 124 *90 на 400 грамм</v>
      </c>
      <c r="B109" s="34">
        <f>[1]Лист1!D110</f>
        <v>1</v>
      </c>
    </row>
    <row r="110" spans="1:2" ht="28.8" x14ac:dyDescent="0.3">
      <c r="A110" s="34" t="str">
        <f>[1]Лист1!A111</f>
        <v>Пасхальная выпечка форма 110 *85 на 330 грамм</v>
      </c>
      <c r="B110" s="34">
        <f>[1]Лист1!D111</f>
        <v>1</v>
      </c>
    </row>
    <row r="111" spans="1:2" ht="28.8" x14ac:dyDescent="0.3">
      <c r="A111" s="34" t="str">
        <f>[1]Лист1!A112</f>
        <v>Пасхальная выпечка форма 134 *110 на 520 грамм</v>
      </c>
      <c r="B111" s="34">
        <f>[1]Лист1!D112</f>
        <v>1</v>
      </c>
    </row>
    <row r="112" spans="1:2" ht="28.8" x14ac:dyDescent="0.3">
      <c r="A112" s="34" t="str">
        <f>[1]Лист1!A113</f>
        <v>Пасхальная выпечка форма 154 *112 на 710 грамм</v>
      </c>
      <c r="B112" s="34">
        <f>[1]Лист1!D113</f>
        <v>1</v>
      </c>
    </row>
    <row r="113" spans="1:2" x14ac:dyDescent="0.3">
      <c r="A113" s="34" t="str">
        <f>[1]Лист1!A114</f>
        <v>Сушеный персик</v>
      </c>
      <c r="B113" s="34">
        <f>[1]Лист1!D114</f>
        <v>1000</v>
      </c>
    </row>
    <row r="114" spans="1:2" ht="28.8" x14ac:dyDescent="0.3">
      <c r="A114" s="34" t="str">
        <f>[1]Лист1!A115</f>
        <v>Пасхальная выпечка форма 125*110 на 360 грамм</v>
      </c>
      <c r="B114" s="34">
        <f>[1]Лист1!D115</f>
        <v>1</v>
      </c>
    </row>
    <row r="115" spans="1:2" ht="28.8" x14ac:dyDescent="0.3">
      <c r="A115" s="34" t="str">
        <f>[1]Лист1!A116</f>
        <v>Пасхальная выпечка форма 145*115 на 560 грамм</v>
      </c>
      <c r="B115" s="34">
        <f>[1]Лист1!D116</f>
        <v>1</v>
      </c>
    </row>
    <row r="116" spans="1:2" x14ac:dyDescent="0.3">
      <c r="A116" s="34" t="str">
        <f>[1]Лист1!A117</f>
        <v>Пасхальные зефирные яйца</v>
      </c>
      <c r="B116" s="34">
        <f>[1]Лист1!D117</f>
        <v>1</v>
      </c>
    </row>
    <row r="117" spans="1:2" x14ac:dyDescent="0.3">
      <c r="A117" s="34" t="str">
        <f>[1]Лист1!A118</f>
        <v>Пасхальные зефирные гнезда</v>
      </c>
      <c r="B117" s="34">
        <f>[1]Лист1!D118</f>
        <v>1</v>
      </c>
    </row>
    <row r="118" spans="1:2" ht="28.8" x14ac:dyDescent="0.3">
      <c r="A118" s="34" t="str">
        <f>[1]Лист1!A119</f>
        <v>Пасхальные зефирные цветы (100 гр)</v>
      </c>
      <c r="B118" s="34">
        <f>[1]Лист1!D119</f>
        <v>1</v>
      </c>
    </row>
    <row r="119" spans="1:2" x14ac:dyDescent="0.3">
      <c r="A119" s="34" t="str">
        <f>[1]Лист1!A120</f>
        <v xml:space="preserve">Творожный сыр </v>
      </c>
      <c r="B119" s="34">
        <f>[1]Лист1!D120</f>
        <v>250</v>
      </c>
    </row>
    <row r="120" spans="1:2" x14ac:dyDescent="0.3">
      <c r="A120" s="34">
        <f>[1]Лист1!A121</f>
        <v>0</v>
      </c>
      <c r="B120" s="34">
        <f>[1]Лист1!D121</f>
        <v>0</v>
      </c>
    </row>
    <row r="121" spans="1:2" x14ac:dyDescent="0.3">
      <c r="A121" s="34">
        <f>[1]Лист1!A122</f>
        <v>0</v>
      </c>
      <c r="B121" s="34">
        <f>[1]Лист1!D122</f>
        <v>0</v>
      </c>
    </row>
    <row r="122" spans="1:2" x14ac:dyDescent="0.3">
      <c r="A122" s="34">
        <f>[1]Лист1!A123</f>
        <v>0</v>
      </c>
      <c r="B122" s="34">
        <f>[1]Лист1!D123</f>
        <v>0</v>
      </c>
    </row>
    <row r="123" spans="1:2" x14ac:dyDescent="0.3">
      <c r="A123" s="34">
        <f>[1]Лист1!A124</f>
        <v>0</v>
      </c>
      <c r="B123" s="34">
        <f>[1]Лист1!D124</f>
        <v>0</v>
      </c>
    </row>
    <row r="124" spans="1:2" x14ac:dyDescent="0.3">
      <c r="A124" s="34">
        <f>[1]Лист1!A125</f>
        <v>0</v>
      </c>
      <c r="B124" s="34">
        <f>[1]Лист1!D125</f>
        <v>0</v>
      </c>
    </row>
    <row r="125" spans="1:2" x14ac:dyDescent="0.3">
      <c r="A125" s="34">
        <f>[1]Лист1!A126</f>
        <v>0</v>
      </c>
      <c r="B125" s="34">
        <f>[1]Лист1!D126</f>
        <v>0</v>
      </c>
    </row>
    <row r="126" spans="1:2" x14ac:dyDescent="0.3">
      <c r="A126" s="34">
        <f>[1]Лист1!A127</f>
        <v>0</v>
      </c>
      <c r="B126" s="34">
        <f>[1]Лист1!D127</f>
        <v>0</v>
      </c>
    </row>
    <row r="127" spans="1:2" x14ac:dyDescent="0.3">
      <c r="A127" s="34">
        <f>[1]Лист1!A128</f>
        <v>0</v>
      </c>
      <c r="B127" s="34">
        <f>[1]Лист1!D128</f>
        <v>0</v>
      </c>
    </row>
    <row r="128" spans="1:2" x14ac:dyDescent="0.3">
      <c r="A128" s="34">
        <f>[1]Лист1!A129</f>
        <v>0</v>
      </c>
      <c r="B128" s="34">
        <f>[1]Лист1!D129</f>
        <v>0</v>
      </c>
    </row>
    <row r="129" spans="1:2" x14ac:dyDescent="0.3">
      <c r="A129" s="34">
        <f>[1]Лист1!A130</f>
        <v>0</v>
      </c>
      <c r="B129" s="34">
        <f>[1]Лист1!D130</f>
        <v>0</v>
      </c>
    </row>
    <row r="130" spans="1:2" x14ac:dyDescent="0.3">
      <c r="A130" s="34">
        <f>[1]Лист1!A131</f>
        <v>0</v>
      </c>
      <c r="B130" s="34">
        <f>[1]Лист1!D131</f>
        <v>0</v>
      </c>
    </row>
    <row r="131" spans="1:2" x14ac:dyDescent="0.3">
      <c r="A131" s="34">
        <f>[1]Лист1!A132</f>
        <v>0</v>
      </c>
      <c r="B131" s="34">
        <f>[1]Лист1!D132</f>
        <v>0</v>
      </c>
    </row>
    <row r="132" spans="1:2" x14ac:dyDescent="0.3">
      <c r="A132" s="34">
        <f>[1]Лист1!A133</f>
        <v>0</v>
      </c>
      <c r="B132" s="34">
        <f>[1]Лист1!D133</f>
        <v>0</v>
      </c>
    </row>
    <row r="133" spans="1:2" x14ac:dyDescent="0.3">
      <c r="A133" s="34">
        <f>[1]Лист1!A134</f>
        <v>0</v>
      </c>
      <c r="B133" s="34">
        <f>[1]Лист1!D134</f>
        <v>0</v>
      </c>
    </row>
    <row r="134" spans="1:2" x14ac:dyDescent="0.3">
      <c r="A134" s="34">
        <f>[1]Лист1!A135</f>
        <v>0</v>
      </c>
      <c r="B134" s="34">
        <f>[1]Лист1!D135</f>
        <v>0</v>
      </c>
    </row>
    <row r="135" spans="1:2" x14ac:dyDescent="0.3">
      <c r="A135" s="34">
        <f>[1]Лист1!A136</f>
        <v>0</v>
      </c>
      <c r="B135" s="34">
        <f>[1]Лист1!D136</f>
        <v>0</v>
      </c>
    </row>
    <row r="136" spans="1:2" x14ac:dyDescent="0.3">
      <c r="A136" s="34">
        <f>[1]Лист1!A137</f>
        <v>0</v>
      </c>
      <c r="B136" s="34">
        <f>[1]Лист1!D137</f>
        <v>0</v>
      </c>
    </row>
    <row r="137" spans="1:2" x14ac:dyDescent="0.3">
      <c r="A137" s="34">
        <f>[1]Лист1!A138</f>
        <v>0</v>
      </c>
      <c r="B137" s="34">
        <f>[1]Лист1!D138</f>
        <v>0</v>
      </c>
    </row>
    <row r="138" spans="1:2" x14ac:dyDescent="0.3">
      <c r="A138" s="34">
        <f>[1]Лист1!A139</f>
        <v>0</v>
      </c>
      <c r="B138" s="34">
        <f>[1]Лист1!D139</f>
        <v>0</v>
      </c>
    </row>
    <row r="139" spans="1:2" x14ac:dyDescent="0.3">
      <c r="A139" s="34">
        <f>[1]Лист1!A140</f>
        <v>0</v>
      </c>
      <c r="B139" s="34">
        <f>[1]Лист1!D140</f>
        <v>0</v>
      </c>
    </row>
    <row r="140" spans="1:2" x14ac:dyDescent="0.3">
      <c r="A140" s="34">
        <f>[1]Лист1!A141</f>
        <v>0</v>
      </c>
      <c r="B140" s="34">
        <f>[1]Лист1!D141</f>
        <v>0</v>
      </c>
    </row>
    <row r="141" spans="1:2" x14ac:dyDescent="0.3">
      <c r="A141" s="34">
        <f>[1]Лист1!A142</f>
        <v>0</v>
      </c>
      <c r="B141" s="34">
        <f>[1]Лист1!D142</f>
        <v>0</v>
      </c>
    </row>
    <row r="142" spans="1:2" x14ac:dyDescent="0.3">
      <c r="A142" s="34">
        <f>[1]Лист1!A143</f>
        <v>0</v>
      </c>
      <c r="B142" s="34">
        <f>[1]Лист1!D143</f>
        <v>0</v>
      </c>
    </row>
    <row r="143" spans="1:2" x14ac:dyDescent="0.3">
      <c r="A143" s="34">
        <f>[1]Лист1!A144</f>
        <v>0</v>
      </c>
      <c r="B143" s="34">
        <f>[1]Лист1!D144</f>
        <v>0</v>
      </c>
    </row>
    <row r="144" spans="1:2" x14ac:dyDescent="0.3">
      <c r="A144" s="34">
        <f>[1]Лист1!A145</f>
        <v>0</v>
      </c>
      <c r="B144" s="34">
        <f>[1]Лист1!D145</f>
        <v>0</v>
      </c>
    </row>
    <row r="145" spans="1:2" x14ac:dyDescent="0.3">
      <c r="A145" s="34">
        <f>[1]Лист1!A146</f>
        <v>0</v>
      </c>
      <c r="B145" s="34">
        <f>[1]Лист1!D146</f>
        <v>0</v>
      </c>
    </row>
    <row r="146" spans="1:2" x14ac:dyDescent="0.3">
      <c r="A146" s="34">
        <f>[1]Лист1!A147</f>
        <v>0</v>
      </c>
      <c r="B146" s="34">
        <f>[1]Лист1!D147</f>
        <v>0</v>
      </c>
    </row>
    <row r="147" spans="1:2" x14ac:dyDescent="0.3">
      <c r="A147" s="34">
        <f>[1]Лист1!A148</f>
        <v>0</v>
      </c>
      <c r="B147" s="34">
        <f>[1]Лист1!D148</f>
        <v>0</v>
      </c>
    </row>
    <row r="148" spans="1:2" x14ac:dyDescent="0.3">
      <c r="A148" s="34">
        <f>[1]Лист1!A149</f>
        <v>0</v>
      </c>
      <c r="B148" s="34">
        <f>[1]Лист1!D149</f>
        <v>0</v>
      </c>
    </row>
    <row r="149" spans="1:2" x14ac:dyDescent="0.3">
      <c r="A149" s="34">
        <f>[1]Лист1!A150</f>
        <v>0</v>
      </c>
      <c r="B149" s="34">
        <f>[1]Лист1!D150</f>
        <v>0</v>
      </c>
    </row>
    <row r="150" spans="1:2" x14ac:dyDescent="0.3">
      <c r="A150" s="34">
        <f>[1]Лист1!A151</f>
        <v>0</v>
      </c>
      <c r="B150" s="34">
        <f>[1]Лист1!D151</f>
        <v>0</v>
      </c>
    </row>
    <row r="151" spans="1:2" x14ac:dyDescent="0.3">
      <c r="A151" s="34"/>
      <c r="B151" s="34"/>
    </row>
    <row r="152" spans="1:2" x14ac:dyDescent="0.3">
      <c r="A152" s="34"/>
      <c r="B152" s="34"/>
    </row>
    <row r="153" spans="1:2" x14ac:dyDescent="0.3">
      <c r="A153" s="34"/>
      <c r="B153" s="34"/>
    </row>
    <row r="154" spans="1:2" x14ac:dyDescent="0.3">
      <c r="A154" s="34"/>
      <c r="B154" s="34"/>
    </row>
    <row r="155" spans="1:2" x14ac:dyDescent="0.3">
      <c r="A155" s="34"/>
      <c r="B155" s="34"/>
    </row>
    <row r="156" spans="1:2" x14ac:dyDescent="0.3">
      <c r="A156" s="34"/>
      <c r="B156" s="34"/>
    </row>
    <row r="157" spans="1:2" x14ac:dyDescent="0.3">
      <c r="A157" s="34"/>
      <c r="B157" s="34"/>
    </row>
    <row r="158" spans="1:2" x14ac:dyDescent="0.3">
      <c r="A158" s="34"/>
      <c r="B158" s="34"/>
    </row>
    <row r="159" spans="1:2" x14ac:dyDescent="0.3">
      <c r="A159" s="34"/>
      <c r="B159" s="34"/>
    </row>
    <row r="160" spans="1:2" x14ac:dyDescent="0.3">
      <c r="A160" s="34"/>
      <c r="B160" s="34"/>
    </row>
    <row r="161" spans="1:2" x14ac:dyDescent="0.3">
      <c r="A161" s="34"/>
      <c r="B161" s="34"/>
    </row>
    <row r="162" spans="1:2" x14ac:dyDescent="0.3">
      <c r="A162" s="34"/>
      <c r="B162" s="34"/>
    </row>
    <row r="163" spans="1:2" x14ac:dyDescent="0.3">
      <c r="A163" s="34"/>
      <c r="B163" s="34"/>
    </row>
    <row r="164" spans="1:2" x14ac:dyDescent="0.3">
      <c r="A164" s="34"/>
      <c r="B164" s="34"/>
    </row>
    <row r="165" spans="1:2" x14ac:dyDescent="0.3">
      <c r="A165" s="34"/>
      <c r="B165" s="34"/>
    </row>
    <row r="166" spans="1:2" x14ac:dyDescent="0.3">
      <c r="A166" s="34"/>
      <c r="B166" s="34"/>
    </row>
    <row r="167" spans="1:2" x14ac:dyDescent="0.3">
      <c r="A167" s="34"/>
      <c r="B167" s="34"/>
    </row>
    <row r="168" spans="1:2" x14ac:dyDescent="0.3">
      <c r="A168" s="34"/>
      <c r="B168" s="34"/>
    </row>
    <row r="169" spans="1:2" x14ac:dyDescent="0.3">
      <c r="A169" s="34"/>
      <c r="B169" s="34"/>
    </row>
    <row r="170" spans="1:2" x14ac:dyDescent="0.3">
      <c r="A170" s="34"/>
      <c r="B170" s="34"/>
    </row>
    <row r="171" spans="1:2" x14ac:dyDescent="0.3">
      <c r="A171" s="34"/>
      <c r="B171" s="34"/>
    </row>
    <row r="172" spans="1:2" x14ac:dyDescent="0.3">
      <c r="A172" s="34"/>
      <c r="B172" s="34"/>
    </row>
    <row r="173" spans="1:2" x14ac:dyDescent="0.3">
      <c r="A173" s="34"/>
      <c r="B173" s="34"/>
    </row>
    <row r="174" spans="1:2" x14ac:dyDescent="0.3">
      <c r="A174" s="34"/>
      <c r="B174" s="34"/>
    </row>
    <row r="175" spans="1:2" x14ac:dyDescent="0.3">
      <c r="A175" s="34"/>
      <c r="B175" s="34"/>
    </row>
    <row r="176" spans="1:2" x14ac:dyDescent="0.3">
      <c r="A176" s="34"/>
      <c r="B176" s="34"/>
    </row>
    <row r="177" spans="1:2" x14ac:dyDescent="0.3">
      <c r="A177" s="34"/>
      <c r="B177" s="34"/>
    </row>
    <row r="178" spans="1:2" x14ac:dyDescent="0.3">
      <c r="A178" s="34"/>
      <c r="B178" s="34"/>
    </row>
    <row r="179" spans="1:2" x14ac:dyDescent="0.3">
      <c r="A179" s="34"/>
      <c r="B179" s="34"/>
    </row>
    <row r="180" spans="1:2" x14ac:dyDescent="0.3">
      <c r="A180" s="34"/>
      <c r="B180" s="34"/>
    </row>
    <row r="181" spans="1:2" x14ac:dyDescent="0.3">
      <c r="A181" s="34"/>
      <c r="B181" s="34"/>
    </row>
    <row r="182" spans="1:2" x14ac:dyDescent="0.3">
      <c r="A182" s="34"/>
      <c r="B182" s="34"/>
    </row>
    <row r="183" spans="1:2" x14ac:dyDescent="0.3">
      <c r="A183" s="34"/>
      <c r="B183" s="34"/>
    </row>
    <row r="184" spans="1:2" x14ac:dyDescent="0.3">
      <c r="A184" s="34"/>
      <c r="B184" s="34"/>
    </row>
    <row r="185" spans="1:2" x14ac:dyDescent="0.3">
      <c r="A185" s="34"/>
      <c r="B185" s="34"/>
    </row>
    <row r="186" spans="1:2" x14ac:dyDescent="0.3">
      <c r="A186" s="34"/>
      <c r="B186" s="34"/>
    </row>
    <row r="187" spans="1:2" x14ac:dyDescent="0.3">
      <c r="A187" s="34"/>
      <c r="B187" s="34"/>
    </row>
    <row r="188" spans="1:2" x14ac:dyDescent="0.3">
      <c r="A188" s="34"/>
      <c r="B188" s="34"/>
    </row>
    <row r="189" spans="1:2" x14ac:dyDescent="0.3">
      <c r="A189" s="34"/>
      <c r="B189" s="34"/>
    </row>
    <row r="190" spans="1:2" x14ac:dyDescent="0.3">
      <c r="A190" s="34"/>
      <c r="B190" s="34"/>
    </row>
    <row r="191" spans="1:2" x14ac:dyDescent="0.3">
      <c r="A191" s="34"/>
      <c r="B191" s="34"/>
    </row>
    <row r="192" spans="1:2" x14ac:dyDescent="0.3">
      <c r="A192" s="34"/>
      <c r="B192" s="34"/>
    </row>
    <row r="193" spans="1:2" x14ac:dyDescent="0.3">
      <c r="A193" s="34"/>
      <c r="B193" s="34"/>
    </row>
    <row r="194" spans="1:2" x14ac:dyDescent="0.3">
      <c r="A194" s="34"/>
      <c r="B194" s="34"/>
    </row>
    <row r="195" spans="1:2" x14ac:dyDescent="0.3">
      <c r="A195" s="34"/>
      <c r="B195" s="34"/>
    </row>
    <row r="196" spans="1:2" x14ac:dyDescent="0.3">
      <c r="A196" s="34"/>
      <c r="B196" s="34"/>
    </row>
    <row r="197" spans="1:2" x14ac:dyDescent="0.3">
      <c r="A197" s="34"/>
      <c r="B197" s="34"/>
    </row>
    <row r="198" spans="1:2" x14ac:dyDescent="0.3">
      <c r="A198" s="34"/>
      <c r="B198" s="34"/>
    </row>
    <row r="199" spans="1:2" x14ac:dyDescent="0.3">
      <c r="A199" s="34"/>
      <c r="B199" s="34"/>
    </row>
    <row r="200" spans="1:2" x14ac:dyDescent="0.3">
      <c r="A200" s="34"/>
      <c r="B200" s="34"/>
    </row>
    <row r="201" spans="1:2" x14ac:dyDescent="0.3">
      <c r="A201" s="34"/>
      <c r="B201" s="34"/>
    </row>
    <row r="202" spans="1:2" x14ac:dyDescent="0.3">
      <c r="A202" s="34"/>
      <c r="B202" s="34"/>
    </row>
    <row r="203" spans="1:2" x14ac:dyDescent="0.3">
      <c r="A203" s="34"/>
      <c r="B203" s="34"/>
    </row>
    <row r="204" spans="1:2" x14ac:dyDescent="0.3">
      <c r="A204" s="34"/>
      <c r="B204" s="34"/>
    </row>
    <row r="205" spans="1:2" x14ac:dyDescent="0.3">
      <c r="A205" s="34"/>
      <c r="B205" s="34"/>
    </row>
    <row r="206" spans="1:2" x14ac:dyDescent="0.3">
      <c r="A206" s="34"/>
      <c r="B206" s="34"/>
    </row>
    <row r="207" spans="1:2" x14ac:dyDescent="0.3">
      <c r="A207" s="34"/>
      <c r="B207" s="34"/>
    </row>
    <row r="208" spans="1:2" x14ac:dyDescent="0.3">
      <c r="A208" s="34"/>
      <c r="B208" s="34"/>
    </row>
    <row r="209" spans="1:2" x14ac:dyDescent="0.3">
      <c r="A209" s="34"/>
      <c r="B209" s="34"/>
    </row>
    <row r="210" spans="1:2" x14ac:dyDescent="0.3">
      <c r="A210" s="34"/>
      <c r="B210" s="34"/>
    </row>
    <row r="211" spans="1:2" x14ac:dyDescent="0.3">
      <c r="A211" s="34"/>
      <c r="B211" s="34"/>
    </row>
    <row r="212" spans="1:2" x14ac:dyDescent="0.3">
      <c r="A212" s="34"/>
      <c r="B212" s="34"/>
    </row>
    <row r="213" spans="1:2" x14ac:dyDescent="0.3">
      <c r="A213" s="34"/>
      <c r="B213" s="34"/>
    </row>
    <row r="214" spans="1:2" x14ac:dyDescent="0.3">
      <c r="A214" s="34"/>
      <c r="B214" s="34"/>
    </row>
    <row r="215" spans="1:2" x14ac:dyDescent="0.3">
      <c r="A215" s="34"/>
      <c r="B215" s="34"/>
    </row>
    <row r="216" spans="1:2" x14ac:dyDescent="0.3">
      <c r="A216" s="34"/>
      <c r="B216" s="34"/>
    </row>
    <row r="217" spans="1:2" x14ac:dyDescent="0.3">
      <c r="A217" s="34"/>
      <c r="B217" s="34"/>
    </row>
    <row r="218" spans="1:2" x14ac:dyDescent="0.3">
      <c r="A218" s="34"/>
      <c r="B218" s="34"/>
    </row>
    <row r="219" spans="1:2" x14ac:dyDescent="0.3">
      <c r="A219" s="34"/>
      <c r="B219" s="34"/>
    </row>
    <row r="220" spans="1:2" x14ac:dyDescent="0.3">
      <c r="A220" s="34"/>
      <c r="B220" s="34"/>
    </row>
    <row r="221" spans="1:2" x14ac:dyDescent="0.3">
      <c r="A221" s="34"/>
      <c r="B221" s="34"/>
    </row>
    <row r="222" spans="1:2" x14ac:dyDescent="0.3">
      <c r="A222" s="34"/>
      <c r="B222" s="34"/>
    </row>
    <row r="223" spans="1:2" x14ac:dyDescent="0.3">
      <c r="A223" s="34"/>
      <c r="B223" s="34"/>
    </row>
    <row r="224" spans="1:2" x14ac:dyDescent="0.3">
      <c r="A224" s="34"/>
      <c r="B224" s="34"/>
    </row>
    <row r="225" spans="1:2" x14ac:dyDescent="0.3">
      <c r="A225" s="34"/>
      <c r="B225" s="34"/>
    </row>
    <row r="226" spans="1:2" x14ac:dyDescent="0.3">
      <c r="A226" s="34"/>
      <c r="B226" s="34"/>
    </row>
    <row r="227" spans="1:2" x14ac:dyDescent="0.3">
      <c r="A227" s="34"/>
      <c r="B227" s="34"/>
    </row>
    <row r="228" spans="1:2" x14ac:dyDescent="0.3">
      <c r="A228" s="34"/>
      <c r="B228" s="34"/>
    </row>
    <row r="229" spans="1:2" x14ac:dyDescent="0.3">
      <c r="A229" s="34"/>
      <c r="B229" s="34"/>
    </row>
    <row r="230" spans="1:2" x14ac:dyDescent="0.3">
      <c r="A230" s="34"/>
      <c r="B230" s="34"/>
    </row>
    <row r="231" spans="1:2" x14ac:dyDescent="0.3">
      <c r="A231" s="34"/>
      <c r="B231" s="34"/>
    </row>
    <row r="232" spans="1:2" x14ac:dyDescent="0.3">
      <c r="A232" s="34"/>
      <c r="B232" s="34"/>
    </row>
    <row r="233" spans="1:2" x14ac:dyDescent="0.3">
      <c r="A233" s="34"/>
      <c r="B233" s="34"/>
    </row>
    <row r="234" spans="1:2" x14ac:dyDescent="0.3">
      <c r="A234" s="34"/>
      <c r="B234" s="34"/>
    </row>
    <row r="235" spans="1:2" x14ac:dyDescent="0.3">
      <c r="A235" s="34"/>
      <c r="B235" s="34"/>
    </row>
    <row r="236" spans="1:2" x14ac:dyDescent="0.3">
      <c r="A236" s="34"/>
      <c r="B236" s="34"/>
    </row>
    <row r="237" spans="1:2" x14ac:dyDescent="0.3">
      <c r="B237" s="34"/>
    </row>
    <row r="238" spans="1:2" x14ac:dyDescent="0.3">
      <c r="B238" s="34"/>
    </row>
    <row r="239" spans="1:2" x14ac:dyDescent="0.3">
      <c r="B239" s="34"/>
    </row>
    <row r="240" spans="1:2" x14ac:dyDescent="0.3">
      <c r="B240" s="34"/>
    </row>
    <row r="241" spans="2:2" x14ac:dyDescent="0.3">
      <c r="B241" s="34"/>
    </row>
    <row r="242" spans="2:2" x14ac:dyDescent="0.3">
      <c r="B242" s="34"/>
    </row>
    <row r="243" spans="2:2" x14ac:dyDescent="0.3">
      <c r="B243" s="34"/>
    </row>
    <row r="244" spans="2:2" x14ac:dyDescent="0.3">
      <c r="B244" s="34"/>
    </row>
    <row r="245" spans="2:2" x14ac:dyDescent="0.3">
      <c r="B245" s="34"/>
    </row>
    <row r="246" spans="2:2" x14ac:dyDescent="0.3">
      <c r="B246" s="34"/>
    </row>
    <row r="247" spans="2:2" x14ac:dyDescent="0.3">
      <c r="B247" s="34"/>
    </row>
    <row r="248" spans="2:2" x14ac:dyDescent="0.3">
      <c r="B248" s="34"/>
    </row>
    <row r="249" spans="2:2" x14ac:dyDescent="0.3">
      <c r="B249" s="34"/>
    </row>
    <row r="250" spans="2:2" x14ac:dyDescent="0.3">
      <c r="B250" s="34"/>
    </row>
    <row r="251" spans="2:2" x14ac:dyDescent="0.3">
      <c r="B251" s="34"/>
    </row>
    <row r="252" spans="2:2" x14ac:dyDescent="0.3">
      <c r="B252" s="34"/>
    </row>
    <row r="253" spans="2:2" x14ac:dyDescent="0.3">
      <c r="B253" s="34"/>
    </row>
    <row r="254" spans="2:2" x14ac:dyDescent="0.3">
      <c r="B254" s="34"/>
    </row>
    <row r="255" spans="2:2" x14ac:dyDescent="0.3">
      <c r="B255" s="34"/>
    </row>
    <row r="256" spans="2:2" x14ac:dyDescent="0.3">
      <c r="B256" s="34"/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  <row r="303" spans="2:2" x14ac:dyDescent="0.3">
      <c r="B303" s="34"/>
    </row>
    <row r="304" spans="2:2" x14ac:dyDescent="0.3">
      <c r="B304" s="34"/>
    </row>
    <row r="305" spans="2:2" x14ac:dyDescent="0.3">
      <c r="B305" s="34"/>
    </row>
    <row r="306" spans="2:2" x14ac:dyDescent="0.3">
      <c r="B306" s="34"/>
    </row>
    <row r="307" spans="2:2" x14ac:dyDescent="0.3">
      <c r="B307" s="34"/>
    </row>
    <row r="308" spans="2:2" x14ac:dyDescent="0.3">
      <c r="B308" s="34"/>
    </row>
    <row r="309" spans="2:2" x14ac:dyDescent="0.3">
      <c r="B309" s="34"/>
    </row>
    <row r="310" spans="2:2" x14ac:dyDescent="0.3">
      <c r="B310" s="34"/>
    </row>
    <row r="311" spans="2:2" x14ac:dyDescent="0.3">
      <c r="B311" s="34"/>
    </row>
    <row r="312" spans="2:2" x14ac:dyDescent="0.3">
      <c r="B312" s="34"/>
    </row>
    <row r="313" spans="2:2" x14ac:dyDescent="0.3">
      <c r="B313" s="34"/>
    </row>
    <row r="314" spans="2:2" x14ac:dyDescent="0.3">
      <c r="B314" s="34"/>
    </row>
    <row r="315" spans="2:2" x14ac:dyDescent="0.3">
      <c r="B315" s="34"/>
    </row>
    <row r="316" spans="2:2" x14ac:dyDescent="0.3">
      <c r="B316" s="34"/>
    </row>
    <row r="317" spans="2:2" x14ac:dyDescent="0.3">
      <c r="B317" s="34"/>
    </row>
    <row r="318" spans="2:2" x14ac:dyDescent="0.3">
      <c r="B318" s="34"/>
    </row>
    <row r="319" spans="2:2" x14ac:dyDescent="0.3">
      <c r="B319" s="34"/>
    </row>
    <row r="320" spans="2:2" x14ac:dyDescent="0.3">
      <c r="B320" s="34"/>
    </row>
    <row r="321" spans="2:2" x14ac:dyDescent="0.3">
      <c r="B321" s="34"/>
    </row>
    <row r="322" spans="2:2" x14ac:dyDescent="0.3">
      <c r="B322" s="34"/>
    </row>
    <row r="323" spans="2:2" x14ac:dyDescent="0.3">
      <c r="B323" s="34"/>
    </row>
    <row r="324" spans="2:2" x14ac:dyDescent="0.3">
      <c r="B324" s="34"/>
    </row>
    <row r="325" spans="2:2" x14ac:dyDescent="0.3">
      <c r="B325" s="34"/>
    </row>
    <row r="326" spans="2:2" x14ac:dyDescent="0.3">
      <c r="B326" s="34"/>
    </row>
    <row r="327" spans="2:2" x14ac:dyDescent="0.3">
      <c r="B327" s="34"/>
    </row>
    <row r="328" spans="2:2" x14ac:dyDescent="0.3">
      <c r="B328" s="34"/>
    </row>
    <row r="329" spans="2:2" x14ac:dyDescent="0.3">
      <c r="B329" s="34"/>
    </row>
    <row r="330" spans="2:2" x14ac:dyDescent="0.3">
      <c r="B330" s="34"/>
    </row>
    <row r="331" spans="2:2" x14ac:dyDescent="0.3">
      <c r="B331" s="34"/>
    </row>
    <row r="332" spans="2:2" x14ac:dyDescent="0.3">
      <c r="B332" s="34"/>
    </row>
    <row r="333" spans="2:2" x14ac:dyDescent="0.3">
      <c r="B333" s="34"/>
    </row>
    <row r="334" spans="2:2" x14ac:dyDescent="0.3">
      <c r="B334" s="34"/>
    </row>
    <row r="335" spans="2:2" x14ac:dyDescent="0.3">
      <c r="B335" s="34"/>
    </row>
    <row r="336" spans="2:2" x14ac:dyDescent="0.3">
      <c r="B336" s="34"/>
    </row>
    <row r="337" spans="2:2" x14ac:dyDescent="0.3">
      <c r="B337" s="34"/>
    </row>
    <row r="338" spans="2:2" x14ac:dyDescent="0.3">
      <c r="B338" s="34"/>
    </row>
    <row r="339" spans="2:2" x14ac:dyDescent="0.3">
      <c r="B339" s="34"/>
    </row>
    <row r="340" spans="2:2" x14ac:dyDescent="0.3">
      <c r="B340" s="34"/>
    </row>
    <row r="341" spans="2:2" x14ac:dyDescent="0.3">
      <c r="B341" s="34"/>
    </row>
    <row r="342" spans="2:2" x14ac:dyDescent="0.3">
      <c r="B342" s="34"/>
    </row>
    <row r="343" spans="2:2" x14ac:dyDescent="0.3">
      <c r="B343" s="34"/>
    </row>
    <row r="344" spans="2:2" x14ac:dyDescent="0.3">
      <c r="B344" s="34"/>
    </row>
    <row r="345" spans="2:2" x14ac:dyDescent="0.3">
      <c r="B345" s="34"/>
    </row>
    <row r="346" spans="2:2" x14ac:dyDescent="0.3">
      <c r="B346" s="34"/>
    </row>
    <row r="347" spans="2:2" x14ac:dyDescent="0.3">
      <c r="B347" s="34"/>
    </row>
    <row r="348" spans="2:2" x14ac:dyDescent="0.3">
      <c r="B348" s="34"/>
    </row>
    <row r="349" spans="2:2" x14ac:dyDescent="0.3">
      <c r="B349" s="34"/>
    </row>
    <row r="350" spans="2:2" x14ac:dyDescent="0.3">
      <c r="B350" s="34"/>
    </row>
    <row r="351" spans="2:2" x14ac:dyDescent="0.3">
      <c r="B351" s="34"/>
    </row>
    <row r="352" spans="2:2" x14ac:dyDescent="0.3">
      <c r="B352" s="34"/>
    </row>
    <row r="353" spans="2:2" x14ac:dyDescent="0.3">
      <c r="B353" s="34"/>
    </row>
    <row r="354" spans="2:2" x14ac:dyDescent="0.3">
      <c r="B354" s="34"/>
    </row>
    <row r="355" spans="2:2" x14ac:dyDescent="0.3">
      <c r="B355" s="34"/>
    </row>
    <row r="356" spans="2:2" x14ac:dyDescent="0.3">
      <c r="B356" s="34"/>
    </row>
    <row r="357" spans="2:2" x14ac:dyDescent="0.3">
      <c r="B357" s="34"/>
    </row>
    <row r="358" spans="2:2" x14ac:dyDescent="0.3">
      <c r="B358" s="34"/>
    </row>
    <row r="359" spans="2:2" x14ac:dyDescent="0.3">
      <c r="B359" s="34"/>
    </row>
    <row r="360" spans="2:2" x14ac:dyDescent="0.3">
      <c r="B360" s="34"/>
    </row>
    <row r="361" spans="2:2" x14ac:dyDescent="0.3">
      <c r="B361" s="34"/>
    </row>
    <row r="362" spans="2:2" x14ac:dyDescent="0.3">
      <c r="B362" s="34"/>
    </row>
    <row r="363" spans="2:2" x14ac:dyDescent="0.3">
      <c r="B363" s="34"/>
    </row>
    <row r="364" spans="2:2" x14ac:dyDescent="0.3">
      <c r="B364" s="34"/>
    </row>
    <row r="365" spans="2:2" x14ac:dyDescent="0.3">
      <c r="B365" s="34"/>
    </row>
    <row r="366" spans="2:2" x14ac:dyDescent="0.3">
      <c r="B366" s="34"/>
    </row>
    <row r="367" spans="2:2" x14ac:dyDescent="0.3">
      <c r="B367" s="34"/>
    </row>
    <row r="368" spans="2:2" x14ac:dyDescent="0.3">
      <c r="B368" s="34"/>
    </row>
    <row r="369" spans="2:2" x14ac:dyDescent="0.3">
      <c r="B369" s="34"/>
    </row>
    <row r="370" spans="2:2" x14ac:dyDescent="0.3">
      <c r="B370" s="34"/>
    </row>
    <row r="371" spans="2:2" x14ac:dyDescent="0.3">
      <c r="B371" s="34"/>
    </row>
    <row r="372" spans="2:2" x14ac:dyDescent="0.3">
      <c r="B372" s="34"/>
    </row>
    <row r="373" spans="2:2" x14ac:dyDescent="0.3">
      <c r="B373" s="34"/>
    </row>
    <row r="374" spans="2:2" x14ac:dyDescent="0.3">
      <c r="B374" s="34"/>
    </row>
    <row r="375" spans="2:2" x14ac:dyDescent="0.3">
      <c r="B375" s="34"/>
    </row>
    <row r="376" spans="2:2" x14ac:dyDescent="0.3">
      <c r="B376" s="34"/>
    </row>
    <row r="377" spans="2:2" x14ac:dyDescent="0.3">
      <c r="B377" s="34"/>
    </row>
    <row r="378" spans="2:2" x14ac:dyDescent="0.3">
      <c r="B378" s="34"/>
    </row>
    <row r="379" spans="2:2" x14ac:dyDescent="0.3">
      <c r="B379" s="34"/>
    </row>
    <row r="380" spans="2:2" x14ac:dyDescent="0.3">
      <c r="B380" s="34"/>
    </row>
    <row r="381" spans="2:2" x14ac:dyDescent="0.3">
      <c r="B381" s="34"/>
    </row>
    <row r="382" spans="2:2" x14ac:dyDescent="0.3">
      <c r="B382" s="34"/>
    </row>
    <row r="383" spans="2:2" x14ac:dyDescent="0.3">
      <c r="B383" s="34"/>
    </row>
    <row r="384" spans="2:2" x14ac:dyDescent="0.3">
      <c r="B384" s="34"/>
    </row>
    <row r="385" spans="2:2" x14ac:dyDescent="0.3">
      <c r="B385" s="34"/>
    </row>
    <row r="386" spans="2:2" x14ac:dyDescent="0.3">
      <c r="B386" s="34"/>
    </row>
    <row r="387" spans="2:2" x14ac:dyDescent="0.3">
      <c r="B387" s="34"/>
    </row>
    <row r="388" spans="2:2" x14ac:dyDescent="0.3">
      <c r="B388" s="34"/>
    </row>
    <row r="389" spans="2:2" x14ac:dyDescent="0.3">
      <c r="B389" s="34"/>
    </row>
    <row r="390" spans="2:2" x14ac:dyDescent="0.3">
      <c r="B390" s="34"/>
    </row>
    <row r="391" spans="2:2" x14ac:dyDescent="0.3">
      <c r="B391" s="34"/>
    </row>
    <row r="392" spans="2:2" x14ac:dyDescent="0.3">
      <c r="B392" s="34"/>
    </row>
    <row r="393" spans="2:2" x14ac:dyDescent="0.3">
      <c r="B393" s="34"/>
    </row>
    <row r="394" spans="2:2" x14ac:dyDescent="0.3">
      <c r="B394" s="34"/>
    </row>
    <row r="395" spans="2:2" x14ac:dyDescent="0.3">
      <c r="B395" s="34"/>
    </row>
    <row r="396" spans="2:2" x14ac:dyDescent="0.3">
      <c r="B396" s="34"/>
    </row>
    <row r="397" spans="2:2" x14ac:dyDescent="0.3">
      <c r="B397" s="34"/>
    </row>
    <row r="398" spans="2:2" x14ac:dyDescent="0.3">
      <c r="B398" s="34"/>
    </row>
    <row r="399" spans="2:2" x14ac:dyDescent="0.3">
      <c r="B399" s="34"/>
    </row>
    <row r="400" spans="2:2" x14ac:dyDescent="0.3">
      <c r="B400" s="34"/>
    </row>
    <row r="401" spans="2:2" x14ac:dyDescent="0.3">
      <c r="B401" s="34"/>
    </row>
    <row r="402" spans="2:2" x14ac:dyDescent="0.3">
      <c r="B402" s="34"/>
    </row>
    <row r="403" spans="2:2" x14ac:dyDescent="0.3">
      <c r="B403" s="34"/>
    </row>
    <row r="404" spans="2:2" x14ac:dyDescent="0.3">
      <c r="B404" s="34"/>
    </row>
    <row r="405" spans="2:2" x14ac:dyDescent="0.3">
      <c r="B405" s="34"/>
    </row>
    <row r="406" spans="2:2" x14ac:dyDescent="0.3">
      <c r="B406" s="34"/>
    </row>
    <row r="407" spans="2:2" x14ac:dyDescent="0.3">
      <c r="B407" s="34"/>
    </row>
    <row r="408" spans="2:2" x14ac:dyDescent="0.3">
      <c r="B408" s="34"/>
    </row>
    <row r="409" spans="2:2" x14ac:dyDescent="0.3">
      <c r="B409" s="34"/>
    </row>
    <row r="410" spans="2:2" x14ac:dyDescent="0.3">
      <c r="B410" s="34"/>
    </row>
    <row r="411" spans="2:2" x14ac:dyDescent="0.3">
      <c r="B411" s="34"/>
    </row>
    <row r="412" spans="2:2" x14ac:dyDescent="0.3">
      <c r="B412" s="34"/>
    </row>
    <row r="413" spans="2:2" x14ac:dyDescent="0.3">
      <c r="B413" s="34"/>
    </row>
    <row r="414" spans="2:2" x14ac:dyDescent="0.3">
      <c r="B414" s="34"/>
    </row>
    <row r="415" spans="2:2" x14ac:dyDescent="0.3">
      <c r="B415" s="34"/>
    </row>
    <row r="416" spans="2:2" x14ac:dyDescent="0.3">
      <c r="B416" s="34"/>
    </row>
    <row r="417" spans="2:2" x14ac:dyDescent="0.3">
      <c r="B417" s="34"/>
    </row>
    <row r="418" spans="2:2" x14ac:dyDescent="0.3">
      <c r="B418" s="34"/>
    </row>
    <row r="419" spans="2:2" x14ac:dyDescent="0.3">
      <c r="B419" s="34"/>
    </row>
    <row r="420" spans="2:2" x14ac:dyDescent="0.3">
      <c r="B420" s="34"/>
    </row>
    <row r="421" spans="2:2" x14ac:dyDescent="0.3">
      <c r="B421" s="34"/>
    </row>
    <row r="422" spans="2:2" x14ac:dyDescent="0.3">
      <c r="B422" s="34"/>
    </row>
    <row r="423" spans="2:2" x14ac:dyDescent="0.3">
      <c r="B423" s="34"/>
    </row>
    <row r="424" spans="2:2" x14ac:dyDescent="0.3">
      <c r="B424" s="34"/>
    </row>
    <row r="425" spans="2:2" x14ac:dyDescent="0.3">
      <c r="B425" s="34"/>
    </row>
    <row r="426" spans="2:2" x14ac:dyDescent="0.3">
      <c r="B426" s="34"/>
    </row>
    <row r="427" spans="2:2" x14ac:dyDescent="0.3">
      <c r="B427" s="34"/>
    </row>
    <row r="428" spans="2:2" x14ac:dyDescent="0.3">
      <c r="B428" s="34"/>
    </row>
    <row r="429" spans="2:2" x14ac:dyDescent="0.3">
      <c r="B429" s="34"/>
    </row>
    <row r="430" spans="2:2" x14ac:dyDescent="0.3">
      <c r="B430" s="34"/>
    </row>
    <row r="431" spans="2:2" x14ac:dyDescent="0.3">
      <c r="B431" s="34"/>
    </row>
    <row r="432" spans="2:2" x14ac:dyDescent="0.3">
      <c r="B432" s="34"/>
    </row>
    <row r="433" spans="2:2" x14ac:dyDescent="0.3">
      <c r="B433" s="34"/>
    </row>
    <row r="434" spans="2:2" x14ac:dyDescent="0.3">
      <c r="B434" s="34"/>
    </row>
    <row r="435" spans="2:2" x14ac:dyDescent="0.3">
      <c r="B435" s="34"/>
    </row>
    <row r="436" spans="2:2" x14ac:dyDescent="0.3">
      <c r="B436" s="34"/>
    </row>
    <row r="437" spans="2:2" x14ac:dyDescent="0.3">
      <c r="B437" s="34"/>
    </row>
    <row r="438" spans="2:2" x14ac:dyDescent="0.3">
      <c r="B438" s="34"/>
    </row>
    <row r="439" spans="2:2" x14ac:dyDescent="0.3">
      <c r="B439" s="34"/>
    </row>
    <row r="440" spans="2:2" x14ac:dyDescent="0.3">
      <c r="B440" s="34"/>
    </row>
    <row r="441" spans="2:2" x14ac:dyDescent="0.3">
      <c r="B441" s="34"/>
    </row>
    <row r="442" spans="2:2" x14ac:dyDescent="0.3">
      <c r="B442" s="34"/>
    </row>
    <row r="443" spans="2:2" x14ac:dyDescent="0.3">
      <c r="B443" s="34"/>
    </row>
    <row r="444" spans="2:2" x14ac:dyDescent="0.3">
      <c r="B444" s="34"/>
    </row>
    <row r="445" spans="2:2" x14ac:dyDescent="0.3">
      <c r="B445" s="34"/>
    </row>
    <row r="446" spans="2:2" x14ac:dyDescent="0.3">
      <c r="B446" s="34"/>
    </row>
    <row r="447" spans="2:2" x14ac:dyDescent="0.3">
      <c r="B447" s="34"/>
    </row>
    <row r="448" spans="2:2" x14ac:dyDescent="0.3">
      <c r="B448" s="34"/>
    </row>
    <row r="449" spans="2:2" x14ac:dyDescent="0.3">
      <c r="B449" s="34"/>
    </row>
    <row r="450" spans="2:2" x14ac:dyDescent="0.3">
      <c r="B450" s="34"/>
    </row>
    <row r="451" spans="2:2" x14ac:dyDescent="0.3">
      <c r="B451" s="34"/>
    </row>
    <row r="452" spans="2:2" x14ac:dyDescent="0.3">
      <c r="B452" s="34"/>
    </row>
    <row r="453" spans="2:2" x14ac:dyDescent="0.3">
      <c r="B453" s="34"/>
    </row>
    <row r="454" spans="2:2" x14ac:dyDescent="0.3">
      <c r="B454" s="34"/>
    </row>
    <row r="455" spans="2:2" x14ac:dyDescent="0.3">
      <c r="B455" s="34"/>
    </row>
    <row r="456" spans="2:2" x14ac:dyDescent="0.3">
      <c r="B456" s="34"/>
    </row>
    <row r="457" spans="2:2" x14ac:dyDescent="0.3">
      <c r="B457" s="34"/>
    </row>
    <row r="458" spans="2:2" x14ac:dyDescent="0.3">
      <c r="B458" s="34"/>
    </row>
    <row r="459" spans="2:2" x14ac:dyDescent="0.3">
      <c r="B459" s="34"/>
    </row>
    <row r="460" spans="2:2" x14ac:dyDescent="0.3">
      <c r="B460" s="34"/>
    </row>
    <row r="461" spans="2:2" x14ac:dyDescent="0.3">
      <c r="B461" s="34"/>
    </row>
    <row r="462" spans="2:2" x14ac:dyDescent="0.3">
      <c r="B462" s="34"/>
    </row>
    <row r="463" spans="2:2" x14ac:dyDescent="0.3">
      <c r="B463" s="34"/>
    </row>
    <row r="464" spans="2:2" x14ac:dyDescent="0.3">
      <c r="B464" s="34"/>
    </row>
    <row r="465" spans="2:2" x14ac:dyDescent="0.3">
      <c r="B465" s="34"/>
    </row>
    <row r="466" spans="2:2" x14ac:dyDescent="0.3">
      <c r="B466" s="34"/>
    </row>
    <row r="467" spans="2:2" x14ac:dyDescent="0.3">
      <c r="B467" s="34"/>
    </row>
    <row r="468" spans="2:2" x14ac:dyDescent="0.3">
      <c r="B468" s="34"/>
    </row>
    <row r="469" spans="2:2" x14ac:dyDescent="0.3">
      <c r="B469" s="34"/>
    </row>
    <row r="470" spans="2:2" x14ac:dyDescent="0.3">
      <c r="B470" s="34"/>
    </row>
    <row r="471" spans="2:2" x14ac:dyDescent="0.3">
      <c r="B471" s="34"/>
    </row>
    <row r="472" spans="2:2" x14ac:dyDescent="0.3">
      <c r="B472" s="34"/>
    </row>
    <row r="473" spans="2:2" x14ac:dyDescent="0.3">
      <c r="B473" s="34"/>
    </row>
    <row r="474" spans="2:2" x14ac:dyDescent="0.3">
      <c r="B474" s="34"/>
    </row>
    <row r="475" spans="2:2" x14ac:dyDescent="0.3">
      <c r="B475" s="34"/>
    </row>
    <row r="476" spans="2:2" x14ac:dyDescent="0.3">
      <c r="B476" s="34"/>
    </row>
    <row r="477" spans="2:2" x14ac:dyDescent="0.3">
      <c r="B477" s="34"/>
    </row>
    <row r="478" spans="2:2" x14ac:dyDescent="0.3">
      <c r="B478" s="34"/>
    </row>
    <row r="479" spans="2:2" x14ac:dyDescent="0.3">
      <c r="B479" s="34"/>
    </row>
    <row r="480" spans="2:2" x14ac:dyDescent="0.3">
      <c r="B480" s="34"/>
    </row>
    <row r="481" spans="2:2" x14ac:dyDescent="0.3">
      <c r="B481" s="34"/>
    </row>
    <row r="482" spans="2:2" x14ac:dyDescent="0.3">
      <c r="B482" s="34"/>
    </row>
    <row r="483" spans="2:2" x14ac:dyDescent="0.3">
      <c r="B483" s="34"/>
    </row>
    <row r="484" spans="2:2" x14ac:dyDescent="0.3">
      <c r="B484" s="34"/>
    </row>
    <row r="485" spans="2:2" x14ac:dyDescent="0.3">
      <c r="B485" s="34"/>
    </row>
    <row r="486" spans="2:2" x14ac:dyDescent="0.3">
      <c r="B486" s="34"/>
    </row>
    <row r="487" spans="2:2" x14ac:dyDescent="0.3">
      <c r="B487" s="34"/>
    </row>
    <row r="488" spans="2:2" x14ac:dyDescent="0.3">
      <c r="B488" s="34"/>
    </row>
    <row r="489" spans="2:2" x14ac:dyDescent="0.3">
      <c r="B489" s="34"/>
    </row>
    <row r="490" spans="2:2" x14ac:dyDescent="0.3">
      <c r="B490" s="34"/>
    </row>
    <row r="491" spans="2:2" x14ac:dyDescent="0.3">
      <c r="B491" s="34"/>
    </row>
    <row r="492" spans="2:2" x14ac:dyDescent="0.3">
      <c r="B492" s="34"/>
    </row>
    <row r="493" spans="2:2" x14ac:dyDescent="0.3">
      <c r="B493" s="34"/>
    </row>
    <row r="494" spans="2:2" x14ac:dyDescent="0.3">
      <c r="B494" s="34"/>
    </row>
    <row r="495" spans="2:2" x14ac:dyDescent="0.3">
      <c r="B495" s="34"/>
    </row>
    <row r="496" spans="2:2" x14ac:dyDescent="0.3">
      <c r="B496" s="34"/>
    </row>
    <row r="497" spans="2:2" x14ac:dyDescent="0.3">
      <c r="B497" s="34"/>
    </row>
    <row r="498" spans="2:2" x14ac:dyDescent="0.3">
      <c r="B498" s="34"/>
    </row>
    <row r="499" spans="2:2" x14ac:dyDescent="0.3">
      <c r="B499" s="34"/>
    </row>
    <row r="500" spans="2:2" x14ac:dyDescent="0.3">
      <c r="B500" s="34"/>
    </row>
    <row r="501" spans="2:2" x14ac:dyDescent="0.3">
      <c r="B501" s="34"/>
    </row>
    <row r="502" spans="2:2" x14ac:dyDescent="0.3">
      <c r="B502" s="34"/>
    </row>
    <row r="503" spans="2:2" x14ac:dyDescent="0.3">
      <c r="B503" s="34"/>
    </row>
    <row r="504" spans="2:2" x14ac:dyDescent="0.3">
      <c r="B504" s="34"/>
    </row>
    <row r="505" spans="2:2" x14ac:dyDescent="0.3">
      <c r="B505" s="34"/>
    </row>
    <row r="506" spans="2:2" x14ac:dyDescent="0.3">
      <c r="B506" s="34"/>
    </row>
    <row r="507" spans="2:2" x14ac:dyDescent="0.3">
      <c r="B507" s="34"/>
    </row>
    <row r="508" spans="2:2" x14ac:dyDescent="0.3">
      <c r="B508" s="34"/>
    </row>
    <row r="509" spans="2:2" x14ac:dyDescent="0.3">
      <c r="B509" s="34"/>
    </row>
    <row r="510" spans="2:2" x14ac:dyDescent="0.3">
      <c r="B510" s="34"/>
    </row>
    <row r="511" spans="2:2" x14ac:dyDescent="0.3">
      <c r="B511" s="34"/>
    </row>
    <row r="512" spans="2:2" x14ac:dyDescent="0.3">
      <c r="B512" s="34"/>
    </row>
    <row r="513" spans="2:2" x14ac:dyDescent="0.3">
      <c r="B513" s="34"/>
    </row>
    <row r="514" spans="2:2" x14ac:dyDescent="0.3">
      <c r="B514" s="34"/>
    </row>
    <row r="515" spans="2:2" x14ac:dyDescent="0.3">
      <c r="B515" s="34"/>
    </row>
    <row r="516" spans="2:2" x14ac:dyDescent="0.3">
      <c r="B516" s="34"/>
    </row>
    <row r="517" spans="2:2" x14ac:dyDescent="0.3">
      <c r="B517" s="34"/>
    </row>
    <row r="518" spans="2:2" x14ac:dyDescent="0.3">
      <c r="B518" s="34"/>
    </row>
    <row r="519" spans="2:2" x14ac:dyDescent="0.3">
      <c r="B519" s="34"/>
    </row>
    <row r="520" spans="2:2" x14ac:dyDescent="0.3">
      <c r="B520" s="34"/>
    </row>
    <row r="521" spans="2:2" x14ac:dyDescent="0.3">
      <c r="B521" s="34"/>
    </row>
    <row r="522" spans="2:2" x14ac:dyDescent="0.3">
      <c r="B522" s="34"/>
    </row>
    <row r="523" spans="2:2" x14ac:dyDescent="0.3">
      <c r="B523" s="34"/>
    </row>
    <row r="524" spans="2:2" x14ac:dyDescent="0.3">
      <c r="B524" s="34"/>
    </row>
    <row r="525" spans="2:2" x14ac:dyDescent="0.3">
      <c r="B525" s="34"/>
    </row>
    <row r="526" spans="2:2" x14ac:dyDescent="0.3">
      <c r="B526" s="34"/>
    </row>
    <row r="527" spans="2:2" x14ac:dyDescent="0.3">
      <c r="B527" s="34"/>
    </row>
    <row r="528" spans="2:2" x14ac:dyDescent="0.3">
      <c r="B528" s="34"/>
    </row>
    <row r="529" spans="2:2" x14ac:dyDescent="0.3">
      <c r="B529" s="34"/>
    </row>
    <row r="530" spans="2:2" x14ac:dyDescent="0.3">
      <c r="B530" s="34"/>
    </row>
    <row r="531" spans="2:2" x14ac:dyDescent="0.3">
      <c r="B531" s="34"/>
    </row>
    <row r="532" spans="2:2" x14ac:dyDescent="0.3">
      <c r="B532" s="34"/>
    </row>
    <row r="533" spans="2:2" x14ac:dyDescent="0.3">
      <c r="B533" s="34"/>
    </row>
    <row r="534" spans="2:2" x14ac:dyDescent="0.3">
      <c r="B534" s="34"/>
    </row>
    <row r="535" spans="2:2" x14ac:dyDescent="0.3">
      <c r="B535" s="34"/>
    </row>
    <row r="536" spans="2:2" x14ac:dyDescent="0.3">
      <c r="B536" s="34"/>
    </row>
    <row r="537" spans="2:2" x14ac:dyDescent="0.3">
      <c r="B537" s="34"/>
    </row>
    <row r="538" spans="2:2" x14ac:dyDescent="0.3">
      <c r="B538" s="34"/>
    </row>
    <row r="539" spans="2:2" x14ac:dyDescent="0.3">
      <c r="B539" s="34"/>
    </row>
    <row r="540" spans="2:2" x14ac:dyDescent="0.3">
      <c r="B540" s="34"/>
    </row>
    <row r="541" spans="2:2" x14ac:dyDescent="0.3">
      <c r="B541" s="34"/>
    </row>
    <row r="542" spans="2:2" x14ac:dyDescent="0.3">
      <c r="B542" s="34"/>
    </row>
    <row r="543" spans="2:2" x14ac:dyDescent="0.3">
      <c r="B543" s="34"/>
    </row>
    <row r="544" spans="2:2" x14ac:dyDescent="0.3">
      <c r="B544" s="34"/>
    </row>
    <row r="545" spans="2:2" x14ac:dyDescent="0.3">
      <c r="B545" s="34"/>
    </row>
    <row r="546" spans="2:2" x14ac:dyDescent="0.3">
      <c r="B546" s="34"/>
    </row>
    <row r="547" spans="2:2" x14ac:dyDescent="0.3">
      <c r="B547" s="34"/>
    </row>
    <row r="548" spans="2:2" x14ac:dyDescent="0.3">
      <c r="B548" s="34"/>
    </row>
    <row r="549" spans="2:2" x14ac:dyDescent="0.3">
      <c r="B549" s="34"/>
    </row>
    <row r="550" spans="2:2" x14ac:dyDescent="0.3">
      <c r="B550" s="34"/>
    </row>
    <row r="551" spans="2:2" x14ac:dyDescent="0.3">
      <c r="B551" s="34"/>
    </row>
    <row r="552" spans="2:2" x14ac:dyDescent="0.3">
      <c r="B552" s="34"/>
    </row>
    <row r="553" spans="2:2" x14ac:dyDescent="0.3">
      <c r="B553" s="34"/>
    </row>
    <row r="554" spans="2:2" x14ac:dyDescent="0.3">
      <c r="B554" s="34"/>
    </row>
    <row r="555" spans="2:2" x14ac:dyDescent="0.3">
      <c r="B555" s="34"/>
    </row>
    <row r="556" spans="2:2" x14ac:dyDescent="0.3">
      <c r="B556" s="34"/>
    </row>
    <row r="557" spans="2:2" x14ac:dyDescent="0.3">
      <c r="B557" s="34"/>
    </row>
    <row r="558" spans="2:2" x14ac:dyDescent="0.3">
      <c r="B558" s="34"/>
    </row>
    <row r="559" spans="2:2" x14ac:dyDescent="0.3">
      <c r="B559" s="34"/>
    </row>
    <row r="560" spans="2:2" x14ac:dyDescent="0.3">
      <c r="B560" s="34"/>
    </row>
    <row r="561" spans="2:2" x14ac:dyDescent="0.3">
      <c r="B561" s="34"/>
    </row>
    <row r="562" spans="2:2" x14ac:dyDescent="0.3">
      <c r="B562" s="34"/>
    </row>
    <row r="563" spans="2:2" x14ac:dyDescent="0.3">
      <c r="B563" s="34"/>
    </row>
    <row r="564" spans="2:2" x14ac:dyDescent="0.3">
      <c r="B564" s="34"/>
    </row>
    <row r="565" spans="2:2" x14ac:dyDescent="0.3">
      <c r="B565" s="34"/>
    </row>
    <row r="566" spans="2:2" x14ac:dyDescent="0.3">
      <c r="B566" s="34"/>
    </row>
    <row r="567" spans="2:2" x14ac:dyDescent="0.3">
      <c r="B567" s="34"/>
    </row>
    <row r="568" spans="2:2" x14ac:dyDescent="0.3">
      <c r="B568" s="34"/>
    </row>
    <row r="569" spans="2:2" x14ac:dyDescent="0.3">
      <c r="B569" s="34"/>
    </row>
    <row r="570" spans="2:2" x14ac:dyDescent="0.3">
      <c r="B570" s="34"/>
    </row>
    <row r="571" spans="2:2" x14ac:dyDescent="0.3">
      <c r="B571" s="34"/>
    </row>
    <row r="572" spans="2:2" x14ac:dyDescent="0.3">
      <c r="B572" s="34"/>
    </row>
    <row r="573" spans="2:2" x14ac:dyDescent="0.3">
      <c r="B573" s="34"/>
    </row>
    <row r="574" spans="2:2" x14ac:dyDescent="0.3">
      <c r="B574" s="34"/>
    </row>
    <row r="575" spans="2:2" x14ac:dyDescent="0.3">
      <c r="B575" s="34"/>
    </row>
    <row r="576" spans="2:2" x14ac:dyDescent="0.3">
      <c r="B576" s="34"/>
    </row>
    <row r="577" spans="2:2" x14ac:dyDescent="0.3">
      <c r="B577" s="34"/>
    </row>
  </sheetData>
  <sortState xmlns:xlrd2="http://schemas.microsoft.com/office/spreadsheetml/2017/richdata2" ref="A2:A57">
    <sortCondition ref="A40:A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2</vt:i4>
      </vt:variant>
    </vt:vector>
  </HeadingPairs>
  <TitlesOfParts>
    <vt:vector size="12" baseType="lpstr">
      <vt:lpstr>Технология</vt:lpstr>
      <vt:lpstr>Для закупа</vt:lpstr>
      <vt:lpstr>Расчет с_стоим</vt:lpstr>
      <vt:lpstr>1</vt:lpstr>
      <vt:lpstr>2</vt:lpstr>
      <vt:lpstr>3</vt:lpstr>
      <vt:lpstr>4</vt:lpstr>
      <vt:lpstr>5</vt:lpstr>
      <vt:lpstr>6</vt:lpstr>
      <vt:lpstr>С стоимость</vt:lpstr>
      <vt:lpstr>'Для закупа'!Длязакупа</vt:lpstr>
      <vt:lpstr>Длязакупа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Олеся Трошина</dc:creator>
  <cp:lastModifiedBy>User</cp:lastModifiedBy>
  <cp:lastPrinted>2025-12-13T00:28:53Z</cp:lastPrinted>
  <dcterms:created xsi:type="dcterms:W3CDTF">2024-12-06T19:04:42Z</dcterms:created>
  <dcterms:modified xsi:type="dcterms:W3CDTF">2026-05-07T09:55:44Z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2024-12-06T19:22:03Z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aa46284a-8795-40b9-a40b-f85d73db7ce5</vt:lpwstr>
  </property>
  <property fmtid="{D5CDD505-2E9C-101B-9397-08002B2CF9AE}" pid="7" name="MSIP_Label_defa4170-0d19-0005-0004-bc88714345d2_ActionId">
    <vt:lpwstr>00d118c7-7511-4e20-8798-8698e6a915f3</vt:lpwstr>
  </property>
  <property fmtid="{D5CDD505-2E9C-101B-9397-08002B2CF9AE}" pid="8" name="MSIP_Label_defa4170-0d19-0005-0004-bc88714345d2_ContentBits">
    <vt:lpwstr>0</vt:lpwstr>
  </property>
</Properties>
</file>