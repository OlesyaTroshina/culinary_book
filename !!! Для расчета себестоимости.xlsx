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:\Проекты\кулинарная книга\"/>
    </mc:Choice>
  </mc:AlternateContent>
  <xr:revisionPtr revIDLastSave="0" documentId="13_ncr:1_{28E3DF5A-A39A-48AB-ADF3-4C9800622E7C}" xr6:coauthVersionLast="47" xr6:coauthVersionMax="47" xr10:uidLastSave="{00000000-0000-0000-0000-000000000000}"/>
  <bookViews>
    <workbookView xWindow="-108" yWindow="-108" windowWidth="22308" windowHeight="13176" xr2:uid="{00000000-000D-0000-FFFF-FFFF00000000}"/>
  </bookViews>
  <sheets>
    <sheet name="Лист1" sheetId="1" r:id="rId1"/>
  </sheets>
  <definedNames>
    <definedName name="_xlnm._FilterDatabase" localSheetId="0" hidden="1">Лист1!$A$1:$F$120</definedName>
    <definedName name="Ингридиент_и_составляющее" localSheetId="0">Лист1!$A:$A</definedName>
    <definedName name="Пограммовочная_цена" localSheetId="0">Лист1!$E:$E</definedName>
    <definedName name="Список">Лист1!$A:$E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0" i="1" l="1"/>
  <c r="E49" i="1"/>
  <c r="B56" i="1"/>
  <c r="D56" i="1"/>
  <c r="B57" i="1"/>
  <c r="D57" i="1"/>
  <c r="B58" i="1"/>
  <c r="D58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5" i="1"/>
  <c r="E54" i="1"/>
  <c r="E53" i="1"/>
  <c r="E52" i="1"/>
  <c r="E51" i="1"/>
  <c r="E50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E56" i="1" l="1"/>
  <c r="E57" i="1"/>
  <c r="E58" i="1"/>
</calcChain>
</file>

<file path=xl/sharedStrings.xml><?xml version="1.0" encoding="utf-8"?>
<sst xmlns="http://schemas.openxmlformats.org/spreadsheetml/2006/main" count="248" uniqueCount="132">
  <si>
    <t>Цена</t>
  </si>
  <si>
    <t>Граммовка</t>
  </si>
  <si>
    <t>Пограммовочная цена</t>
  </si>
  <si>
    <t>Бобы тонка</t>
  </si>
  <si>
    <t>Агар-Агар</t>
  </si>
  <si>
    <t>Арахис</t>
  </si>
  <si>
    <t>Ваниль (стручок)</t>
  </si>
  <si>
    <t>Ванильный йогурт</t>
  </si>
  <si>
    <t>Ванильный сахар</t>
  </si>
  <si>
    <t>Ванильный экстракт</t>
  </si>
  <si>
    <t>Вафли трубочки</t>
  </si>
  <si>
    <t>Вода</t>
  </si>
  <si>
    <t>Глюкоза</t>
  </si>
  <si>
    <t>Желатин</t>
  </si>
  <si>
    <t>Желатин листовой (г)</t>
  </si>
  <si>
    <t>Желатиновая масса</t>
  </si>
  <si>
    <t>Какао-порошок</t>
  </si>
  <si>
    <t>Кипяток</t>
  </si>
  <si>
    <t>Кокосовая стружка</t>
  </si>
  <si>
    <t>Корица (г)</t>
  </si>
  <si>
    <t>Корица (палочка)</t>
  </si>
  <si>
    <t>Краситель жирорастворимый</t>
  </si>
  <si>
    <t>Кукурузный крахмал</t>
  </si>
  <si>
    <t>Малина свежемороженая</t>
  </si>
  <si>
    <t>Масло сливочное 82,5%</t>
  </si>
  <si>
    <t>Мед</t>
  </si>
  <si>
    <t>Миндаль</t>
  </si>
  <si>
    <t>Молоко</t>
  </si>
  <si>
    <t>Мука миндальная</t>
  </si>
  <si>
    <t>Мука пшеничная</t>
  </si>
  <si>
    <t>Мука фундучная</t>
  </si>
  <si>
    <t>Мюсли из зерновых продуктов</t>
  </si>
  <si>
    <t>Пектин NH</t>
  </si>
  <si>
    <t>Масло подсолнечное</t>
  </si>
  <si>
    <t>Пралине фундучно-миндальное</t>
  </si>
  <si>
    <t>Пюре малиновое</t>
  </si>
  <si>
    <t>Пюре мандариновое</t>
  </si>
  <si>
    <t>Пюре юдзу</t>
  </si>
  <si>
    <t>Разрыхлитель</t>
  </si>
  <si>
    <t>Рисовые шарики хрустящие</t>
  </si>
  <si>
    <t>Сахар песок</t>
  </si>
  <si>
    <t>Сахар тростниковый</t>
  </si>
  <si>
    <t>Сахарная пудра</t>
  </si>
  <si>
    <t>Сливки 33 – 35%</t>
  </si>
  <si>
    <t>Сок апельсиновый</t>
  </si>
  <si>
    <t>Соль</t>
  </si>
  <si>
    <t>Фисташка</t>
  </si>
  <si>
    <t>Цедра апельсина (шт.)</t>
  </si>
  <si>
    <t>Цедра лайма (шт.)</t>
  </si>
  <si>
    <t>Шоколад белый</t>
  </si>
  <si>
    <t>Шоколад молочный</t>
  </si>
  <si>
    <t>Шоколад темный</t>
  </si>
  <si>
    <t>Яйцо (шт)</t>
  </si>
  <si>
    <t>Апельсиновая цедра</t>
  </si>
  <si>
    <t>Морковь</t>
  </si>
  <si>
    <t>Коробка для торта</t>
  </si>
  <si>
    <t>Пакет фасовочный 12*14</t>
  </si>
  <si>
    <t>Кондитерский мешок</t>
  </si>
  <si>
    <t>Краска кондитерская</t>
  </si>
  <si>
    <t>Сахар ванильный</t>
  </si>
  <si>
    <t>Шпажки маленькие</t>
  </si>
  <si>
    <t>Ось (шампур)</t>
  </si>
  <si>
    <t>Подложка 2  толщ 30*30 см</t>
  </si>
  <si>
    <t>Лимонная кислота</t>
  </si>
  <si>
    <t>Электричество</t>
  </si>
  <si>
    <t>Зефирные фигурки</t>
  </si>
  <si>
    <t>Палочки для мороженного</t>
  </si>
  <si>
    <t>Упаковочная бумага цвет</t>
  </si>
  <si>
    <t>Топер</t>
  </si>
  <si>
    <t>Кофе растворимый</t>
  </si>
  <si>
    <t>плюс 1000, для консистенции в пропитке</t>
  </si>
  <si>
    <t>Груша очищенная</t>
  </si>
  <si>
    <t>Желе сухое фруктовое</t>
  </si>
  <si>
    <t>Краситель пищевой</t>
  </si>
  <si>
    <t xml:space="preserve">Печенье бисквитное </t>
  </si>
  <si>
    <t>Орех фундук</t>
  </si>
  <si>
    <t>Орех кешью</t>
  </si>
  <si>
    <t>Орех арахис</t>
  </si>
  <si>
    <t>Орех грецкий</t>
  </si>
  <si>
    <t>Паста дес. ванильная</t>
  </si>
  <si>
    <t>Паста дес. банан</t>
  </si>
  <si>
    <t>Паста дес. клубника</t>
  </si>
  <si>
    <t>Паста дес. манго</t>
  </si>
  <si>
    <t>Паста дес. апельсин</t>
  </si>
  <si>
    <t>Паста дес. мандарин</t>
  </si>
  <si>
    <t>Паста дес. маракуйя</t>
  </si>
  <si>
    <t>Паста дес. фисташка</t>
  </si>
  <si>
    <t>Паста дес. малина</t>
  </si>
  <si>
    <t>Орех миндаль</t>
  </si>
  <si>
    <t>Яйцо гр (51 гр в 1 яйце)</t>
  </si>
  <si>
    <t>Желток (17 г от 1 яйца)</t>
  </si>
  <si>
    <t>Белок (34 г от 1 яйца)</t>
  </si>
  <si>
    <t>Молоко сгущенное(380 гр)</t>
  </si>
  <si>
    <t>Молоко сгущенное (вар)380 гр</t>
  </si>
  <si>
    <t>Кефир</t>
  </si>
  <si>
    <t>Сода пищевая</t>
  </si>
  <si>
    <t xml:space="preserve">Шарики рисовые в глазури </t>
  </si>
  <si>
    <t>Банан шт</t>
  </si>
  <si>
    <t>Банан кг (120-150гр)</t>
  </si>
  <si>
    <t>цена и кол заполняется тут</t>
  </si>
  <si>
    <t>Сметана (25-35%)</t>
  </si>
  <si>
    <t>Дрожжи</t>
  </si>
  <si>
    <t>Цукаты</t>
  </si>
  <si>
    <t>Посыпка кондитерская</t>
  </si>
  <si>
    <t>Форма пасх диам 90 выс 90</t>
  </si>
  <si>
    <t>Форма пасх диам 124 выс 90</t>
  </si>
  <si>
    <t>Ленты</t>
  </si>
  <si>
    <t>БЗК</t>
  </si>
  <si>
    <t>Изюм</t>
  </si>
  <si>
    <t>Сушеные ягоды</t>
  </si>
  <si>
    <t>Пасхальная выпечка форма 90*90 на 260 грамм</t>
  </si>
  <si>
    <t>Пасхальная выпечка форма 124 *90 на 400 грамм</t>
  </si>
  <si>
    <t>Пасхальная выпечка форма 110 *85 на 330 грамм</t>
  </si>
  <si>
    <t>Пасхальная выпечка форма 134 *110 на 520 грамм</t>
  </si>
  <si>
    <t>Пасхальная выпечка форма 154 *112 на 710 грамм</t>
  </si>
  <si>
    <r>
      <t xml:space="preserve">34 гр от 1 яйца  </t>
    </r>
    <r>
      <rPr>
        <sz val="11"/>
        <color rgb="FFFF0000"/>
        <rFont val="Baskerville Old Face"/>
        <family val="1"/>
      </rPr>
      <t>цена автомат</t>
    </r>
  </si>
  <si>
    <r>
      <t xml:space="preserve">17 гр от 1 яйца </t>
    </r>
    <r>
      <rPr>
        <sz val="11"/>
        <color rgb="FFFF0000"/>
        <rFont val="Baskerville Old Face"/>
        <family val="1"/>
      </rPr>
      <t>цена автомат</t>
    </r>
  </si>
  <si>
    <r>
      <t xml:space="preserve">51 гр яйцо </t>
    </r>
    <r>
      <rPr>
        <sz val="11"/>
        <color rgb="FFFF0000"/>
        <rFont val="Baskerville Old Face"/>
        <family val="1"/>
      </rPr>
      <t>цена автомат</t>
    </r>
  </si>
  <si>
    <t>Сушеный персик</t>
  </si>
  <si>
    <t>Пасхальная выпечка форма 125*110 на 360 грамм</t>
  </si>
  <si>
    <t>Пасхальная выпечка форма 145*115 на 560 грамм</t>
  </si>
  <si>
    <t>Пасхальные зефирные яйца</t>
  </si>
  <si>
    <t>Пасхольные зефирный веночек</t>
  </si>
  <si>
    <t>Пасхальные зефирные цветы (100 гр)</t>
  </si>
  <si>
    <t>Пасхальные зефирные гнезда</t>
  </si>
  <si>
    <t xml:space="preserve">Творожный сыр </t>
  </si>
  <si>
    <t>Маскарпоне сыр</t>
  </si>
  <si>
    <t>Ед измерения</t>
  </si>
  <si>
    <t>гр.</t>
  </si>
  <si>
    <t>шт.</t>
  </si>
  <si>
    <t>кВт</t>
  </si>
  <si>
    <t>Ингредиенты и материалы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</si>
</sst>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Baskerville Old Face"/>
      <family val="1"/>
    </font>
    <font>
      <sz val="11"/>
      <color theme="1"/>
      <name val="Baskerville Old Face"/>
      <family val="1"/>
    </font>
    <font>
      <sz val="11"/>
      <color rgb="FFFF0000"/>
      <name val="Baskerville Old Face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FFFEB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0" xfId="0" applyFont="1" applyFill="1"/>
    <xf numFmtId="0" fontId="3" fillId="2" borderId="0" xfId="0" applyFont="1" applyFill="1"/>
    <xf numFmtId="0" fontId="2" fillId="2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0"/>
  <sheetViews>
    <sheetView tabSelected="1" workbookViewId="0">
      <pane ySplit="1" topLeftCell="A2" activePane="bottomLeft" state="frozen"/>
      <selection activeCell="D49" sqref="D49"/>
      <selection pane="bottomLeft"/>
    </sheetView>
  </sheetViews>
  <sheetFormatPr defaultColWidth="9" defaultRowHeight="16.2" customHeight="1" x14ac:dyDescent="0.3"/>
  <cols>
    <col min="1" max="1" width="44.77734375" style="7" customWidth="1"/>
    <col min="2" max="3" width="9" style="4"/>
    <col min="4" max="4" width="11.6640625" style="4" customWidth="1"/>
    <col min="5" max="5" width="18" style="4" customWidth="1"/>
    <col min="6" max="6" width="27.33203125" style="5" customWidth="1"/>
    <col min="7" max="16384" width="9" style="5"/>
  </cols>
  <sheetData>
    <row r="1" spans="1:5" s="2" customFormat="1" ht="36" customHeight="1" x14ac:dyDescent="0.3">
      <c r="A1" s="1" t="s">
        <v>131</v>
      </c>
      <c r="B1" s="1" t="s">
        <v>0</v>
      </c>
      <c r="C1" s="1" t="s">
        <v>127</v>
      </c>
      <c r="D1" s="1" t="s">
        <v>1</v>
      </c>
      <c r="E1" s="1" t="s">
        <v>2</v>
      </c>
    </row>
    <row r="2" spans="1:5" ht="16.2" customHeight="1" x14ac:dyDescent="0.3">
      <c r="A2" s="3" t="s">
        <v>3</v>
      </c>
      <c r="C2" s="4" t="s">
        <v>128</v>
      </c>
      <c r="D2" s="4">
        <v>1000</v>
      </c>
      <c r="E2" s="4">
        <f t="shared" ref="E2:E65" si="0">B2/D2</f>
        <v>0</v>
      </c>
    </row>
    <row r="3" spans="1:5" ht="16.2" customHeight="1" x14ac:dyDescent="0.3">
      <c r="A3" s="3" t="s">
        <v>4</v>
      </c>
      <c r="B3" s="4">
        <v>2570</v>
      </c>
      <c r="C3" s="4" t="s">
        <v>128</v>
      </c>
      <c r="D3" s="4">
        <v>1000</v>
      </c>
      <c r="E3" s="4">
        <f t="shared" si="0"/>
        <v>2.57</v>
      </c>
    </row>
    <row r="4" spans="1:5" ht="16.2" customHeight="1" x14ac:dyDescent="0.3">
      <c r="A4" s="3" t="s">
        <v>5</v>
      </c>
      <c r="B4" s="4">
        <v>69.900000000000006</v>
      </c>
      <c r="C4" s="4" t="s">
        <v>128</v>
      </c>
      <c r="D4" s="4">
        <v>200</v>
      </c>
      <c r="E4" s="4">
        <f t="shared" si="0"/>
        <v>0.34950000000000003</v>
      </c>
    </row>
    <row r="5" spans="1:5" ht="16.2" customHeight="1" x14ac:dyDescent="0.3">
      <c r="A5" s="3" t="s">
        <v>6</v>
      </c>
      <c r="C5" s="4" t="s">
        <v>128</v>
      </c>
      <c r="D5" s="4">
        <v>1000</v>
      </c>
      <c r="E5" s="4">
        <f t="shared" si="0"/>
        <v>0</v>
      </c>
    </row>
    <row r="6" spans="1:5" ht="16.2" customHeight="1" x14ac:dyDescent="0.3">
      <c r="A6" s="3" t="s">
        <v>7</v>
      </c>
      <c r="C6" s="4" t="s">
        <v>128</v>
      </c>
      <c r="D6" s="4">
        <v>1000</v>
      </c>
      <c r="E6" s="4">
        <f t="shared" si="0"/>
        <v>0</v>
      </c>
    </row>
    <row r="7" spans="1:5" ht="16.2" customHeight="1" x14ac:dyDescent="0.3">
      <c r="A7" s="3" t="s">
        <v>8</v>
      </c>
      <c r="B7" s="4">
        <v>10</v>
      </c>
      <c r="C7" s="4" t="s">
        <v>128</v>
      </c>
      <c r="D7" s="4">
        <v>8</v>
      </c>
      <c r="E7" s="4">
        <f t="shared" si="0"/>
        <v>1.25</v>
      </c>
    </row>
    <row r="8" spans="1:5" ht="16.2" customHeight="1" x14ac:dyDescent="0.3">
      <c r="A8" s="3" t="s">
        <v>9</v>
      </c>
      <c r="C8" s="4" t="s">
        <v>128</v>
      </c>
      <c r="D8" s="4">
        <v>1000</v>
      </c>
      <c r="E8" s="4">
        <f t="shared" si="0"/>
        <v>0</v>
      </c>
    </row>
    <row r="9" spans="1:5" ht="16.2" customHeight="1" x14ac:dyDescent="0.3">
      <c r="A9" s="3" t="s">
        <v>10</v>
      </c>
      <c r="B9" s="4">
        <v>179.99</v>
      </c>
      <c r="C9" s="4" t="s">
        <v>128</v>
      </c>
      <c r="D9" s="4">
        <v>400</v>
      </c>
      <c r="E9" s="4">
        <f t="shared" si="0"/>
        <v>0.44997500000000001</v>
      </c>
    </row>
    <row r="10" spans="1:5" ht="16.2" customHeight="1" x14ac:dyDescent="0.3">
      <c r="A10" s="3" t="s">
        <v>11</v>
      </c>
      <c r="C10" s="4" t="s">
        <v>128</v>
      </c>
      <c r="D10" s="4">
        <v>1000</v>
      </c>
      <c r="E10" s="4">
        <f t="shared" si="0"/>
        <v>0</v>
      </c>
    </row>
    <row r="11" spans="1:5" ht="16.2" customHeight="1" x14ac:dyDescent="0.3">
      <c r="A11" s="3" t="s">
        <v>12</v>
      </c>
      <c r="B11" s="4">
        <v>239</v>
      </c>
      <c r="C11" s="4" t="s">
        <v>128</v>
      </c>
      <c r="D11" s="4">
        <v>300</v>
      </c>
      <c r="E11" s="4">
        <f t="shared" si="0"/>
        <v>0.79666666666666663</v>
      </c>
    </row>
    <row r="12" spans="1:5" ht="16.2" customHeight="1" x14ac:dyDescent="0.3">
      <c r="A12" s="3" t="s">
        <v>71</v>
      </c>
      <c r="B12" s="4">
        <v>170</v>
      </c>
      <c r="C12" s="4" t="s">
        <v>128</v>
      </c>
      <c r="D12" s="4">
        <v>1000</v>
      </c>
      <c r="E12" s="4">
        <f t="shared" si="0"/>
        <v>0.17</v>
      </c>
    </row>
    <row r="13" spans="1:5" ht="16.2" customHeight="1" x14ac:dyDescent="0.3">
      <c r="A13" s="3" t="s">
        <v>13</v>
      </c>
      <c r="B13" s="4">
        <v>109</v>
      </c>
      <c r="C13" s="4" t="s">
        <v>128</v>
      </c>
      <c r="D13" s="4">
        <v>50</v>
      </c>
      <c r="E13" s="4">
        <f t="shared" si="0"/>
        <v>2.1800000000000002</v>
      </c>
    </row>
    <row r="14" spans="1:5" ht="16.2" customHeight="1" x14ac:dyDescent="0.3">
      <c r="A14" s="3" t="s">
        <v>14</v>
      </c>
      <c r="C14" s="4" t="s">
        <v>128</v>
      </c>
      <c r="D14" s="4">
        <v>1000</v>
      </c>
      <c r="E14" s="4">
        <f t="shared" si="0"/>
        <v>0</v>
      </c>
    </row>
    <row r="15" spans="1:5" ht="16.2" customHeight="1" x14ac:dyDescent="0.3">
      <c r="A15" s="3" t="s">
        <v>15</v>
      </c>
      <c r="C15" s="4" t="s">
        <v>128</v>
      </c>
      <c r="D15" s="4">
        <v>1000</v>
      </c>
      <c r="E15" s="4">
        <f t="shared" si="0"/>
        <v>0</v>
      </c>
    </row>
    <row r="16" spans="1:5" ht="16.2" customHeight="1" x14ac:dyDescent="0.3">
      <c r="A16" s="3" t="s">
        <v>16</v>
      </c>
      <c r="B16" s="4">
        <v>985</v>
      </c>
      <c r="C16" s="4" t="s">
        <v>128</v>
      </c>
      <c r="D16" s="4">
        <v>500</v>
      </c>
      <c r="E16" s="4">
        <f t="shared" si="0"/>
        <v>1.97</v>
      </c>
    </row>
    <row r="17" spans="1:5" ht="16.2" customHeight="1" x14ac:dyDescent="0.3">
      <c r="A17" s="3" t="s">
        <v>17</v>
      </c>
      <c r="C17" s="4" t="s">
        <v>128</v>
      </c>
      <c r="D17" s="4">
        <v>1000</v>
      </c>
      <c r="E17" s="4">
        <f t="shared" si="0"/>
        <v>0</v>
      </c>
    </row>
    <row r="18" spans="1:5" ht="16.2" customHeight="1" x14ac:dyDescent="0.3">
      <c r="A18" s="3" t="s">
        <v>18</v>
      </c>
      <c r="B18" s="4">
        <v>169</v>
      </c>
      <c r="C18" s="4" t="s">
        <v>128</v>
      </c>
      <c r="D18" s="4">
        <v>100</v>
      </c>
      <c r="E18" s="4">
        <f t="shared" si="0"/>
        <v>1.69</v>
      </c>
    </row>
    <row r="19" spans="1:5" ht="16.2" customHeight="1" x14ac:dyDescent="0.3">
      <c r="A19" s="3" t="s">
        <v>19</v>
      </c>
      <c r="B19" s="4">
        <v>60</v>
      </c>
      <c r="C19" s="4" t="s">
        <v>128</v>
      </c>
      <c r="D19" s="4">
        <v>25</v>
      </c>
      <c r="E19" s="4">
        <f t="shared" si="0"/>
        <v>2.4</v>
      </c>
    </row>
    <row r="20" spans="1:5" ht="16.2" customHeight="1" x14ac:dyDescent="0.3">
      <c r="A20" s="3" t="s">
        <v>20</v>
      </c>
      <c r="C20" s="4" t="s">
        <v>128</v>
      </c>
      <c r="D20" s="4">
        <v>1000</v>
      </c>
      <c r="E20" s="4">
        <f t="shared" si="0"/>
        <v>0</v>
      </c>
    </row>
    <row r="21" spans="1:5" ht="16.2" customHeight="1" x14ac:dyDescent="0.3">
      <c r="A21" s="3" t="s">
        <v>21</v>
      </c>
      <c r="B21" s="4">
        <v>140</v>
      </c>
      <c r="C21" s="4" t="s">
        <v>128</v>
      </c>
      <c r="D21" s="4">
        <v>5</v>
      </c>
      <c r="E21" s="4">
        <f t="shared" si="0"/>
        <v>28</v>
      </c>
    </row>
    <row r="22" spans="1:5" ht="16.2" customHeight="1" x14ac:dyDescent="0.3">
      <c r="A22" s="3" t="s">
        <v>22</v>
      </c>
      <c r="B22" s="4">
        <v>75</v>
      </c>
      <c r="C22" s="4" t="s">
        <v>128</v>
      </c>
      <c r="D22" s="4">
        <v>400</v>
      </c>
      <c r="E22" s="4">
        <f t="shared" si="0"/>
        <v>0.1875</v>
      </c>
    </row>
    <row r="23" spans="1:5" ht="16.2" customHeight="1" x14ac:dyDescent="0.3">
      <c r="A23" s="3" t="s">
        <v>23</v>
      </c>
      <c r="C23" s="4" t="s">
        <v>128</v>
      </c>
      <c r="D23" s="4">
        <v>1000</v>
      </c>
      <c r="E23" s="4">
        <f t="shared" si="0"/>
        <v>0</v>
      </c>
    </row>
    <row r="24" spans="1:5" ht="16.2" customHeight="1" x14ac:dyDescent="0.3">
      <c r="A24" s="3" t="s">
        <v>24</v>
      </c>
      <c r="B24" s="4">
        <v>1190</v>
      </c>
      <c r="C24" s="4" t="s">
        <v>128</v>
      </c>
      <c r="D24" s="4">
        <v>1000</v>
      </c>
      <c r="E24" s="4">
        <f t="shared" si="0"/>
        <v>1.19</v>
      </c>
    </row>
    <row r="25" spans="1:5" ht="16.2" customHeight="1" x14ac:dyDescent="0.3">
      <c r="A25" s="3" t="s">
        <v>25</v>
      </c>
      <c r="B25" s="4">
        <v>4000</v>
      </c>
      <c r="C25" s="4" t="s">
        <v>128</v>
      </c>
      <c r="D25" s="4">
        <v>3000</v>
      </c>
      <c r="E25" s="4">
        <f t="shared" si="0"/>
        <v>1.3333333333333333</v>
      </c>
    </row>
    <row r="26" spans="1:5" ht="16.2" customHeight="1" x14ac:dyDescent="0.3">
      <c r="A26" s="3" t="s">
        <v>26</v>
      </c>
      <c r="B26" s="4">
        <v>1699</v>
      </c>
      <c r="C26" s="4" t="s">
        <v>128</v>
      </c>
      <c r="D26" s="4">
        <v>1000</v>
      </c>
      <c r="E26" s="4">
        <f t="shared" si="0"/>
        <v>1.6990000000000001</v>
      </c>
    </row>
    <row r="27" spans="1:5" ht="16.2" customHeight="1" x14ac:dyDescent="0.3">
      <c r="A27" s="3" t="s">
        <v>27</v>
      </c>
      <c r="B27" s="4">
        <v>159</v>
      </c>
      <c r="C27" s="4" t="s">
        <v>128</v>
      </c>
      <c r="D27" s="4">
        <v>1500</v>
      </c>
      <c r="E27" s="4">
        <f t="shared" si="0"/>
        <v>0.106</v>
      </c>
    </row>
    <row r="28" spans="1:5" ht="16.2" customHeight="1" x14ac:dyDescent="0.3">
      <c r="A28" s="3" t="s">
        <v>92</v>
      </c>
      <c r="B28" s="4">
        <v>145</v>
      </c>
      <c r="C28" s="4" t="s">
        <v>128</v>
      </c>
      <c r="D28" s="4">
        <v>380</v>
      </c>
      <c r="E28" s="4">
        <f t="shared" si="0"/>
        <v>0.38157894736842107</v>
      </c>
    </row>
    <row r="29" spans="1:5" ht="16.2" customHeight="1" x14ac:dyDescent="0.3">
      <c r="A29" s="3" t="s">
        <v>93</v>
      </c>
      <c r="B29" s="4">
        <v>145</v>
      </c>
      <c r="C29" s="4" t="s">
        <v>128</v>
      </c>
      <c r="D29" s="4">
        <v>380</v>
      </c>
      <c r="E29" s="4">
        <f t="shared" si="0"/>
        <v>0.38157894736842107</v>
      </c>
    </row>
    <row r="30" spans="1:5" ht="16.2" customHeight="1" x14ac:dyDescent="0.3">
      <c r="A30" s="3" t="s">
        <v>28</v>
      </c>
      <c r="C30" s="4" t="s">
        <v>128</v>
      </c>
      <c r="D30" s="4">
        <v>1000</v>
      </c>
      <c r="E30" s="4">
        <f t="shared" si="0"/>
        <v>0</v>
      </c>
    </row>
    <row r="31" spans="1:5" ht="16.2" customHeight="1" x14ac:dyDescent="0.3">
      <c r="A31" s="3" t="s">
        <v>29</v>
      </c>
      <c r="B31" s="4">
        <v>120</v>
      </c>
      <c r="C31" s="4" t="s">
        <v>128</v>
      </c>
      <c r="D31" s="4">
        <v>2000</v>
      </c>
      <c r="E31" s="4">
        <f t="shared" si="0"/>
        <v>0.06</v>
      </c>
    </row>
    <row r="32" spans="1:5" ht="16.2" customHeight="1" x14ac:dyDescent="0.3">
      <c r="A32" s="3" t="s">
        <v>30</v>
      </c>
      <c r="C32" s="4" t="s">
        <v>128</v>
      </c>
      <c r="D32" s="4">
        <v>1000</v>
      </c>
      <c r="E32" s="4">
        <f t="shared" si="0"/>
        <v>0</v>
      </c>
    </row>
    <row r="33" spans="1:5" ht="16.2" customHeight="1" x14ac:dyDescent="0.3">
      <c r="A33" s="3" t="s">
        <v>31</v>
      </c>
      <c r="C33" s="4" t="s">
        <v>128</v>
      </c>
      <c r="D33" s="4">
        <v>1000</v>
      </c>
      <c r="E33" s="4">
        <f t="shared" si="0"/>
        <v>0</v>
      </c>
    </row>
    <row r="34" spans="1:5" ht="16.2" customHeight="1" x14ac:dyDescent="0.3">
      <c r="A34" s="3" t="s">
        <v>87</v>
      </c>
      <c r="B34" s="4">
        <v>564</v>
      </c>
      <c r="C34" s="4" t="s">
        <v>128</v>
      </c>
      <c r="D34" s="4">
        <v>125</v>
      </c>
      <c r="E34" s="4">
        <f t="shared" si="0"/>
        <v>4.5119999999999996</v>
      </c>
    </row>
    <row r="35" spans="1:5" ht="16.2" customHeight="1" x14ac:dyDescent="0.3">
      <c r="A35" s="3" t="s">
        <v>32</v>
      </c>
      <c r="C35" s="4" t="s">
        <v>128</v>
      </c>
      <c r="D35" s="4">
        <v>1000</v>
      </c>
      <c r="E35" s="4">
        <f t="shared" si="0"/>
        <v>0</v>
      </c>
    </row>
    <row r="36" spans="1:5" ht="16.2" customHeight="1" x14ac:dyDescent="0.3">
      <c r="A36" s="3" t="s">
        <v>33</v>
      </c>
      <c r="B36" s="4">
        <v>1100</v>
      </c>
      <c r="C36" s="4" t="s">
        <v>128</v>
      </c>
      <c r="D36" s="4">
        <v>1000</v>
      </c>
      <c r="E36" s="4">
        <f t="shared" si="0"/>
        <v>1.1000000000000001</v>
      </c>
    </row>
    <row r="37" spans="1:5" ht="16.2" customHeight="1" x14ac:dyDescent="0.3">
      <c r="A37" s="3" t="s">
        <v>34</v>
      </c>
      <c r="C37" s="4" t="s">
        <v>128</v>
      </c>
      <c r="D37" s="4">
        <v>1000</v>
      </c>
      <c r="E37" s="4">
        <f t="shared" si="0"/>
        <v>0</v>
      </c>
    </row>
    <row r="38" spans="1:5" ht="16.2" customHeight="1" x14ac:dyDescent="0.3">
      <c r="A38" s="3" t="s">
        <v>35</v>
      </c>
      <c r="C38" s="4" t="s">
        <v>128</v>
      </c>
      <c r="D38" s="4">
        <v>1000</v>
      </c>
      <c r="E38" s="4">
        <f t="shared" si="0"/>
        <v>0</v>
      </c>
    </row>
    <row r="39" spans="1:5" ht="16.2" customHeight="1" x14ac:dyDescent="0.3">
      <c r="A39" s="3" t="s">
        <v>36</v>
      </c>
      <c r="C39" s="4" t="s">
        <v>128</v>
      </c>
      <c r="D39" s="4">
        <v>1000</v>
      </c>
      <c r="E39" s="4">
        <f t="shared" si="0"/>
        <v>0</v>
      </c>
    </row>
    <row r="40" spans="1:5" ht="16.2" customHeight="1" x14ac:dyDescent="0.3">
      <c r="A40" s="3" t="s">
        <v>37</v>
      </c>
      <c r="C40" s="4" t="s">
        <v>128</v>
      </c>
      <c r="D40" s="4">
        <v>1000</v>
      </c>
      <c r="E40" s="4">
        <f t="shared" si="0"/>
        <v>0</v>
      </c>
    </row>
    <row r="41" spans="1:5" ht="16.2" customHeight="1" x14ac:dyDescent="0.3">
      <c r="A41" s="3" t="s">
        <v>38</v>
      </c>
      <c r="B41" s="4">
        <v>13</v>
      </c>
      <c r="C41" s="4" t="s">
        <v>128</v>
      </c>
      <c r="D41" s="4">
        <v>10</v>
      </c>
      <c r="E41" s="4">
        <f t="shared" si="0"/>
        <v>1.3</v>
      </c>
    </row>
    <row r="42" spans="1:5" ht="16.2" customHeight="1" x14ac:dyDescent="0.3">
      <c r="A42" s="3" t="s">
        <v>39</v>
      </c>
      <c r="C42" s="4" t="s">
        <v>128</v>
      </c>
      <c r="D42" s="4">
        <v>1000</v>
      </c>
      <c r="E42" s="4">
        <f t="shared" si="0"/>
        <v>0</v>
      </c>
    </row>
    <row r="43" spans="1:5" ht="16.2" customHeight="1" x14ac:dyDescent="0.3">
      <c r="A43" s="3" t="s">
        <v>40</v>
      </c>
      <c r="B43" s="4">
        <v>65</v>
      </c>
      <c r="C43" s="4" t="s">
        <v>128</v>
      </c>
      <c r="D43" s="4">
        <v>1000</v>
      </c>
      <c r="E43" s="4">
        <f t="shared" si="0"/>
        <v>6.5000000000000002E-2</v>
      </c>
    </row>
    <row r="44" spans="1:5" ht="16.2" customHeight="1" x14ac:dyDescent="0.3">
      <c r="A44" s="3" t="s">
        <v>41</v>
      </c>
      <c r="C44" s="4" t="s">
        <v>128</v>
      </c>
      <c r="D44" s="4">
        <v>1000</v>
      </c>
      <c r="E44" s="4">
        <f t="shared" si="0"/>
        <v>0</v>
      </c>
    </row>
    <row r="45" spans="1:5" ht="16.2" customHeight="1" x14ac:dyDescent="0.3">
      <c r="A45" s="3" t="s">
        <v>42</v>
      </c>
      <c r="B45" s="4">
        <v>77</v>
      </c>
      <c r="C45" s="4" t="s">
        <v>128</v>
      </c>
      <c r="D45" s="4">
        <v>250</v>
      </c>
      <c r="E45" s="4">
        <f t="shared" si="0"/>
        <v>0.308</v>
      </c>
    </row>
    <row r="46" spans="1:5" ht="16.2" customHeight="1" x14ac:dyDescent="0.3">
      <c r="A46" s="3" t="s">
        <v>43</v>
      </c>
      <c r="B46" s="4">
        <v>500</v>
      </c>
      <c r="C46" s="4" t="s">
        <v>128</v>
      </c>
      <c r="D46" s="4">
        <v>344.91</v>
      </c>
      <c r="E46" s="4">
        <f t="shared" si="0"/>
        <v>1.4496535328056595</v>
      </c>
    </row>
    <row r="47" spans="1:5" ht="16.2" customHeight="1" x14ac:dyDescent="0.3">
      <c r="A47" s="3" t="s">
        <v>44</v>
      </c>
      <c r="C47" s="4" t="s">
        <v>128</v>
      </c>
      <c r="D47" s="4">
        <v>1000</v>
      </c>
      <c r="E47" s="4">
        <f t="shared" si="0"/>
        <v>0</v>
      </c>
    </row>
    <row r="48" spans="1:5" ht="16.2" customHeight="1" x14ac:dyDescent="0.3">
      <c r="A48" s="3" t="s">
        <v>45</v>
      </c>
      <c r="B48" s="4">
        <v>21</v>
      </c>
      <c r="C48" s="4" t="s">
        <v>128</v>
      </c>
      <c r="D48" s="4">
        <v>1000</v>
      </c>
      <c r="E48" s="4">
        <f t="shared" si="0"/>
        <v>2.1000000000000001E-2</v>
      </c>
    </row>
    <row r="49" spans="1:6" ht="16.2" customHeight="1" x14ac:dyDescent="0.3">
      <c r="A49" s="3" t="s">
        <v>126</v>
      </c>
      <c r="B49" s="4">
        <v>290</v>
      </c>
      <c r="C49" s="4" t="s">
        <v>128</v>
      </c>
      <c r="D49" s="4">
        <v>250</v>
      </c>
      <c r="E49" s="4">
        <f t="shared" si="0"/>
        <v>1.1599999999999999</v>
      </c>
    </row>
    <row r="50" spans="1:6" ht="16.2" customHeight="1" x14ac:dyDescent="0.3">
      <c r="A50" s="3" t="s">
        <v>46</v>
      </c>
      <c r="C50" s="4" t="s">
        <v>128</v>
      </c>
      <c r="D50" s="4">
        <v>1000</v>
      </c>
      <c r="E50" s="4">
        <f t="shared" si="0"/>
        <v>0</v>
      </c>
    </row>
    <row r="51" spans="1:6" ht="16.2" customHeight="1" x14ac:dyDescent="0.3">
      <c r="A51" s="3" t="s">
        <v>47</v>
      </c>
      <c r="C51" s="4" t="s">
        <v>128</v>
      </c>
      <c r="D51" s="4">
        <v>1000</v>
      </c>
      <c r="E51" s="4">
        <f t="shared" si="0"/>
        <v>0</v>
      </c>
    </row>
    <row r="52" spans="1:6" ht="16.2" customHeight="1" x14ac:dyDescent="0.3">
      <c r="A52" s="3" t="s">
        <v>48</v>
      </c>
      <c r="C52" s="4" t="s">
        <v>128</v>
      </c>
      <c r="D52" s="4">
        <v>1000</v>
      </c>
      <c r="E52" s="4">
        <f t="shared" si="0"/>
        <v>0</v>
      </c>
    </row>
    <row r="53" spans="1:6" ht="16.2" customHeight="1" x14ac:dyDescent="0.3">
      <c r="A53" s="3" t="s">
        <v>49</v>
      </c>
      <c r="B53" s="4">
        <v>79.989999999999995</v>
      </c>
      <c r="C53" s="4" t="s">
        <v>128</v>
      </c>
      <c r="D53" s="4">
        <v>75</v>
      </c>
      <c r="E53" s="4">
        <f t="shared" si="0"/>
        <v>1.0665333333333333</v>
      </c>
    </row>
    <row r="54" spans="1:6" ht="16.2" customHeight="1" x14ac:dyDescent="0.3">
      <c r="A54" s="3" t="s">
        <v>50</v>
      </c>
      <c r="B54" s="4">
        <v>190</v>
      </c>
      <c r="C54" s="4" t="s">
        <v>128</v>
      </c>
      <c r="D54" s="4">
        <v>200</v>
      </c>
      <c r="E54" s="4">
        <f t="shared" si="0"/>
        <v>0.95</v>
      </c>
    </row>
    <row r="55" spans="1:6" ht="16.2" customHeight="1" x14ac:dyDescent="0.3">
      <c r="A55" s="3" t="s">
        <v>51</v>
      </c>
      <c r="B55" s="4">
        <v>90</v>
      </c>
      <c r="C55" s="4" t="s">
        <v>128</v>
      </c>
      <c r="D55" s="4">
        <v>82</v>
      </c>
      <c r="E55" s="4">
        <f t="shared" si="0"/>
        <v>1.0975609756097562</v>
      </c>
    </row>
    <row r="56" spans="1:6" ht="16.2" customHeight="1" x14ac:dyDescent="0.3">
      <c r="A56" s="3" t="s">
        <v>91</v>
      </c>
      <c r="B56" s="4">
        <f>B59</f>
        <v>280</v>
      </c>
      <c r="C56" s="4" t="s">
        <v>128</v>
      </c>
      <c r="D56" s="4">
        <f>D59*34</f>
        <v>1020</v>
      </c>
      <c r="E56" s="4">
        <f t="shared" si="0"/>
        <v>0.27450980392156865</v>
      </c>
      <c r="F56" s="5" t="s">
        <v>115</v>
      </c>
    </row>
    <row r="57" spans="1:6" ht="16.2" customHeight="1" x14ac:dyDescent="0.3">
      <c r="A57" s="3" t="s">
        <v>90</v>
      </c>
      <c r="B57" s="4">
        <f>B59</f>
        <v>280</v>
      </c>
      <c r="C57" s="4" t="s">
        <v>128</v>
      </c>
      <c r="D57" s="4">
        <f>D59*17</f>
        <v>510</v>
      </c>
      <c r="E57" s="4">
        <f t="shared" si="0"/>
        <v>0.5490196078431373</v>
      </c>
      <c r="F57" s="5" t="s">
        <v>116</v>
      </c>
    </row>
    <row r="58" spans="1:6" ht="16.2" customHeight="1" x14ac:dyDescent="0.3">
      <c r="A58" s="3" t="s">
        <v>89</v>
      </c>
      <c r="B58" s="4">
        <f>B59</f>
        <v>280</v>
      </c>
      <c r="C58" s="4" t="s">
        <v>128</v>
      </c>
      <c r="D58" s="4">
        <f>D59*51</f>
        <v>1530</v>
      </c>
      <c r="E58" s="4">
        <f t="shared" si="0"/>
        <v>0.18300653594771241</v>
      </c>
      <c r="F58" s="5" t="s">
        <v>117</v>
      </c>
    </row>
    <row r="59" spans="1:6" ht="16.2" customHeight="1" x14ac:dyDescent="0.3">
      <c r="A59" s="3" t="s">
        <v>52</v>
      </c>
      <c r="B59" s="4">
        <v>280</v>
      </c>
      <c r="C59" s="4" t="s">
        <v>129</v>
      </c>
      <c r="D59" s="4">
        <v>30</v>
      </c>
      <c r="E59" s="4">
        <f t="shared" si="0"/>
        <v>9.3333333333333339</v>
      </c>
      <c r="F59" s="6" t="s">
        <v>99</v>
      </c>
    </row>
    <row r="60" spans="1:6" ht="16.2" customHeight="1" x14ac:dyDescent="0.3">
      <c r="A60" s="3" t="s">
        <v>53</v>
      </c>
      <c r="B60" s="4">
        <v>165</v>
      </c>
      <c r="C60" s="4" t="s">
        <v>128</v>
      </c>
      <c r="D60" s="4">
        <v>1000</v>
      </c>
      <c r="E60" s="4">
        <f t="shared" si="0"/>
        <v>0.16500000000000001</v>
      </c>
    </row>
    <row r="61" spans="1:6" ht="16.2" customHeight="1" x14ac:dyDescent="0.3">
      <c r="A61" s="3" t="s">
        <v>54</v>
      </c>
      <c r="C61" s="4" t="s">
        <v>128</v>
      </c>
      <c r="D61" s="4">
        <v>1000</v>
      </c>
      <c r="E61" s="4">
        <f t="shared" si="0"/>
        <v>0</v>
      </c>
    </row>
    <row r="62" spans="1:6" ht="16.2" customHeight="1" x14ac:dyDescent="0.3">
      <c r="A62" s="3" t="s">
        <v>55</v>
      </c>
      <c r="B62" s="4">
        <v>107</v>
      </c>
      <c r="C62" s="4" t="s">
        <v>129</v>
      </c>
      <c r="D62" s="4">
        <v>1</v>
      </c>
      <c r="E62" s="4">
        <f t="shared" si="0"/>
        <v>107</v>
      </c>
    </row>
    <row r="63" spans="1:6" ht="16.2" customHeight="1" x14ac:dyDescent="0.3">
      <c r="A63" s="3" t="s">
        <v>56</v>
      </c>
      <c r="B63" s="4">
        <v>266</v>
      </c>
      <c r="C63" s="4" t="s">
        <v>129</v>
      </c>
      <c r="D63" s="4">
        <v>100</v>
      </c>
      <c r="E63" s="4">
        <f t="shared" si="0"/>
        <v>2.66</v>
      </c>
    </row>
    <row r="64" spans="1:6" ht="16.2" customHeight="1" x14ac:dyDescent="0.3">
      <c r="A64" s="3" t="s">
        <v>57</v>
      </c>
      <c r="B64" s="4">
        <v>150</v>
      </c>
      <c r="C64" s="4" t="s">
        <v>129</v>
      </c>
      <c r="D64" s="4">
        <v>100</v>
      </c>
      <c r="E64" s="4">
        <f t="shared" si="0"/>
        <v>1.5</v>
      </c>
    </row>
    <row r="65" spans="1:6" ht="16.2" customHeight="1" x14ac:dyDescent="0.3">
      <c r="A65" s="3" t="s">
        <v>58</v>
      </c>
      <c r="C65" s="4" t="s">
        <v>128</v>
      </c>
      <c r="D65" s="4">
        <v>1000</v>
      </c>
      <c r="E65" s="4">
        <f t="shared" si="0"/>
        <v>0</v>
      </c>
    </row>
    <row r="66" spans="1:6" ht="16.2" customHeight="1" x14ac:dyDescent="0.3">
      <c r="A66" s="3" t="s">
        <v>59</v>
      </c>
      <c r="B66" s="4">
        <v>37.99</v>
      </c>
      <c r="C66" s="4" t="s">
        <v>128</v>
      </c>
      <c r="D66" s="4">
        <v>40</v>
      </c>
      <c r="E66" s="4">
        <f t="shared" ref="E66" si="1">B66/D66</f>
        <v>0.94975000000000009</v>
      </c>
    </row>
    <row r="67" spans="1:6" ht="16.2" customHeight="1" x14ac:dyDescent="0.3">
      <c r="A67" s="3" t="s">
        <v>60</v>
      </c>
      <c r="B67" s="4">
        <v>30</v>
      </c>
      <c r="C67" s="4" t="s">
        <v>129</v>
      </c>
      <c r="D67" s="4">
        <v>50</v>
      </c>
      <c r="E67" s="4">
        <f t="shared" ref="E67:E120" si="2">B67/D67</f>
        <v>0.6</v>
      </c>
    </row>
    <row r="68" spans="1:6" ht="16.2" customHeight="1" x14ac:dyDescent="0.3">
      <c r="A68" s="3" t="s">
        <v>61</v>
      </c>
      <c r="C68" s="4" t="s">
        <v>129</v>
      </c>
      <c r="D68" s="4">
        <v>100</v>
      </c>
      <c r="E68" s="4">
        <f t="shared" si="2"/>
        <v>0</v>
      </c>
    </row>
    <row r="69" spans="1:6" ht="16.2" customHeight="1" x14ac:dyDescent="0.3">
      <c r="A69" s="3" t="s">
        <v>62</v>
      </c>
      <c r="B69" s="4">
        <v>148</v>
      </c>
      <c r="C69" s="4" t="s">
        <v>129</v>
      </c>
      <c r="D69" s="4">
        <v>6932.25</v>
      </c>
      <c r="E69" s="4">
        <f t="shared" si="2"/>
        <v>2.1349489703920085E-2</v>
      </c>
    </row>
    <row r="70" spans="1:6" ht="16.2" customHeight="1" x14ac:dyDescent="0.3">
      <c r="A70" s="3" t="s">
        <v>63</v>
      </c>
      <c r="B70" s="4">
        <v>43</v>
      </c>
      <c r="C70" s="4" t="s">
        <v>128</v>
      </c>
      <c r="D70" s="4">
        <v>80</v>
      </c>
      <c r="E70" s="4">
        <f t="shared" si="2"/>
        <v>0.53749999999999998</v>
      </c>
    </row>
    <row r="71" spans="1:6" ht="16.2" customHeight="1" x14ac:dyDescent="0.3">
      <c r="A71" s="3" t="s">
        <v>64</v>
      </c>
      <c r="B71" s="4">
        <v>7.15</v>
      </c>
      <c r="C71" s="4" t="s">
        <v>130</v>
      </c>
      <c r="D71" s="4">
        <v>1</v>
      </c>
      <c r="E71" s="4">
        <f t="shared" si="2"/>
        <v>7.15</v>
      </c>
    </row>
    <row r="72" spans="1:6" ht="16.2" customHeight="1" x14ac:dyDescent="0.3">
      <c r="A72" s="3" t="s">
        <v>65</v>
      </c>
      <c r="B72" s="4">
        <v>1500</v>
      </c>
      <c r="C72" s="4" t="s">
        <v>128</v>
      </c>
      <c r="D72" s="4">
        <v>1000</v>
      </c>
      <c r="E72" s="4">
        <f t="shared" si="2"/>
        <v>1.5</v>
      </c>
    </row>
    <row r="73" spans="1:6" ht="16.2" customHeight="1" x14ac:dyDescent="0.3">
      <c r="A73" s="3" t="s">
        <v>66</v>
      </c>
      <c r="B73" s="4">
        <v>66</v>
      </c>
      <c r="C73" s="4" t="s">
        <v>129</v>
      </c>
      <c r="D73" s="4">
        <v>50</v>
      </c>
      <c r="E73" s="4">
        <f t="shared" si="2"/>
        <v>1.32</v>
      </c>
    </row>
    <row r="74" spans="1:6" ht="16.2" customHeight="1" x14ac:dyDescent="0.3">
      <c r="A74" s="3" t="s">
        <v>67</v>
      </c>
      <c r="B74" s="4">
        <v>308</v>
      </c>
      <c r="C74" s="4" t="s">
        <v>129</v>
      </c>
      <c r="D74" s="4">
        <v>100</v>
      </c>
      <c r="E74" s="4">
        <f t="shared" si="2"/>
        <v>3.08</v>
      </c>
    </row>
    <row r="75" spans="1:6" ht="16.2" customHeight="1" x14ac:dyDescent="0.3">
      <c r="A75" s="7" t="s">
        <v>68</v>
      </c>
      <c r="B75" s="4">
        <v>175</v>
      </c>
      <c r="C75" s="4" t="s">
        <v>129</v>
      </c>
      <c r="D75" s="4">
        <v>1</v>
      </c>
      <c r="E75" s="4">
        <f t="shared" si="2"/>
        <v>175</v>
      </c>
    </row>
    <row r="76" spans="1:6" ht="16.2" customHeight="1" x14ac:dyDescent="0.3">
      <c r="A76" s="7" t="s">
        <v>69</v>
      </c>
      <c r="B76" s="4">
        <v>400</v>
      </c>
      <c r="C76" s="4" t="s">
        <v>128</v>
      </c>
      <c r="D76" s="4">
        <v>1180</v>
      </c>
      <c r="E76" s="4">
        <f t="shared" si="2"/>
        <v>0.33898305084745761</v>
      </c>
      <c r="F76" s="5" t="s">
        <v>70</v>
      </c>
    </row>
    <row r="77" spans="1:6" ht="16.2" customHeight="1" x14ac:dyDescent="0.3">
      <c r="A77" s="7" t="s">
        <v>98</v>
      </c>
      <c r="B77" s="4">
        <v>140</v>
      </c>
      <c r="C77" s="4" t="s">
        <v>128</v>
      </c>
      <c r="D77" s="4">
        <v>1000</v>
      </c>
      <c r="E77" s="4">
        <f t="shared" si="2"/>
        <v>0.14000000000000001</v>
      </c>
    </row>
    <row r="78" spans="1:6" ht="16.2" customHeight="1" x14ac:dyDescent="0.3">
      <c r="A78" s="7" t="s">
        <v>79</v>
      </c>
      <c r="B78" s="4">
        <v>801</v>
      </c>
      <c r="C78" s="4" t="s">
        <v>128</v>
      </c>
      <c r="D78" s="4">
        <v>125</v>
      </c>
      <c r="E78" s="4">
        <f t="shared" si="2"/>
        <v>6.4080000000000004</v>
      </c>
    </row>
    <row r="79" spans="1:6" ht="16.2" customHeight="1" x14ac:dyDescent="0.3">
      <c r="A79" s="7" t="s">
        <v>72</v>
      </c>
      <c r="B79" s="4">
        <v>72</v>
      </c>
      <c r="C79" s="4" t="s">
        <v>128</v>
      </c>
      <c r="D79" s="4">
        <v>41</v>
      </c>
      <c r="E79" s="4">
        <f t="shared" si="2"/>
        <v>1.7560975609756098</v>
      </c>
    </row>
    <row r="80" spans="1:6" ht="16.2" customHeight="1" x14ac:dyDescent="0.3">
      <c r="A80" s="7" t="s">
        <v>80</v>
      </c>
      <c r="B80" s="4">
        <v>868</v>
      </c>
      <c r="C80" s="4" t="s">
        <v>128</v>
      </c>
      <c r="D80" s="4">
        <v>125</v>
      </c>
      <c r="E80" s="4">
        <f t="shared" si="2"/>
        <v>6.944</v>
      </c>
    </row>
    <row r="81" spans="1:5" ht="16.2" customHeight="1" x14ac:dyDescent="0.3">
      <c r="A81" s="7" t="s">
        <v>81</v>
      </c>
      <c r="B81" s="4">
        <v>444</v>
      </c>
      <c r="C81" s="4" t="s">
        <v>128</v>
      </c>
      <c r="D81" s="4">
        <v>125</v>
      </c>
      <c r="E81" s="4">
        <f t="shared" si="2"/>
        <v>3.552</v>
      </c>
    </row>
    <row r="82" spans="1:5" ht="16.2" customHeight="1" x14ac:dyDescent="0.3">
      <c r="A82" s="7" t="s">
        <v>82</v>
      </c>
      <c r="B82" s="4">
        <v>564</v>
      </c>
      <c r="C82" s="4" t="s">
        <v>128</v>
      </c>
      <c r="D82" s="4">
        <v>125</v>
      </c>
      <c r="E82" s="4">
        <f t="shared" si="2"/>
        <v>4.5119999999999996</v>
      </c>
    </row>
    <row r="83" spans="1:5" ht="16.2" customHeight="1" x14ac:dyDescent="0.3">
      <c r="A83" s="7" t="s">
        <v>83</v>
      </c>
      <c r="B83" s="4">
        <v>472</v>
      </c>
      <c r="C83" s="4" t="s">
        <v>128</v>
      </c>
      <c r="D83" s="4">
        <v>125</v>
      </c>
      <c r="E83" s="4">
        <f t="shared" si="2"/>
        <v>3.7759999999999998</v>
      </c>
    </row>
    <row r="84" spans="1:5" ht="16.2" customHeight="1" x14ac:dyDescent="0.3">
      <c r="A84" s="7" t="s">
        <v>84</v>
      </c>
      <c r="B84" s="4">
        <v>870</v>
      </c>
      <c r="C84" s="4" t="s">
        <v>128</v>
      </c>
      <c r="D84" s="4">
        <v>125</v>
      </c>
      <c r="E84" s="4">
        <f t="shared" si="2"/>
        <v>6.96</v>
      </c>
    </row>
    <row r="85" spans="1:5" ht="16.2" customHeight="1" x14ac:dyDescent="0.3">
      <c r="A85" s="7" t="s">
        <v>85</v>
      </c>
      <c r="B85" s="4">
        <v>560</v>
      </c>
      <c r="C85" s="4" t="s">
        <v>128</v>
      </c>
      <c r="D85" s="4">
        <v>125</v>
      </c>
      <c r="E85" s="4">
        <f t="shared" si="2"/>
        <v>4.4800000000000004</v>
      </c>
    </row>
    <row r="86" spans="1:5" ht="16.2" customHeight="1" x14ac:dyDescent="0.3">
      <c r="A86" s="7" t="s">
        <v>86</v>
      </c>
      <c r="B86" s="4">
        <v>1815</v>
      </c>
      <c r="C86" s="4" t="s">
        <v>128</v>
      </c>
      <c r="D86" s="4">
        <v>1000</v>
      </c>
      <c r="E86" s="4">
        <f t="shared" si="2"/>
        <v>1.8149999999999999</v>
      </c>
    </row>
    <row r="87" spans="1:5" ht="16.2" customHeight="1" x14ac:dyDescent="0.3">
      <c r="A87" s="7" t="s">
        <v>73</v>
      </c>
      <c r="C87" s="4" t="s">
        <v>128</v>
      </c>
      <c r="D87" s="4">
        <v>125</v>
      </c>
      <c r="E87" s="4">
        <f t="shared" si="2"/>
        <v>0</v>
      </c>
    </row>
    <row r="88" spans="1:5" ht="16.2" customHeight="1" x14ac:dyDescent="0.3">
      <c r="A88" s="7" t="s">
        <v>74</v>
      </c>
      <c r="B88" s="4">
        <v>204</v>
      </c>
      <c r="C88" s="4" t="s">
        <v>128</v>
      </c>
      <c r="D88" s="4">
        <v>300</v>
      </c>
      <c r="E88" s="4">
        <f t="shared" si="2"/>
        <v>0.68</v>
      </c>
    </row>
    <row r="89" spans="1:5" ht="16.2" customHeight="1" x14ac:dyDescent="0.3">
      <c r="A89" s="7" t="s">
        <v>75</v>
      </c>
      <c r="B89" s="4">
        <v>155.4</v>
      </c>
      <c r="C89" s="4" t="s">
        <v>128</v>
      </c>
      <c r="D89" s="4">
        <v>100</v>
      </c>
      <c r="E89" s="4">
        <f t="shared" si="2"/>
        <v>1.554</v>
      </c>
    </row>
    <row r="90" spans="1:5" ht="16.2" customHeight="1" x14ac:dyDescent="0.3">
      <c r="A90" s="7" t="s">
        <v>76</v>
      </c>
      <c r="B90" s="4">
        <v>155.4</v>
      </c>
      <c r="C90" s="4" t="s">
        <v>128</v>
      </c>
      <c r="D90" s="4">
        <v>100</v>
      </c>
      <c r="E90" s="4">
        <f t="shared" si="2"/>
        <v>1.554</v>
      </c>
    </row>
    <row r="91" spans="1:5" ht="16.2" customHeight="1" x14ac:dyDescent="0.3">
      <c r="A91" s="7" t="s">
        <v>88</v>
      </c>
      <c r="B91" s="4">
        <v>169.9</v>
      </c>
      <c r="C91" s="4" t="s">
        <v>128</v>
      </c>
      <c r="D91" s="4">
        <v>100</v>
      </c>
      <c r="E91" s="4">
        <f t="shared" si="2"/>
        <v>1.6990000000000001</v>
      </c>
    </row>
    <row r="92" spans="1:5" ht="16.2" customHeight="1" x14ac:dyDescent="0.3">
      <c r="A92" s="7" t="s">
        <v>78</v>
      </c>
      <c r="B92" s="4">
        <v>1150</v>
      </c>
      <c r="C92" s="4" t="s">
        <v>128</v>
      </c>
      <c r="D92" s="4">
        <v>1000</v>
      </c>
      <c r="E92" s="4">
        <f t="shared" si="2"/>
        <v>1.1499999999999999</v>
      </c>
    </row>
    <row r="93" spans="1:5" ht="16.2" customHeight="1" x14ac:dyDescent="0.3">
      <c r="A93" s="7" t="s">
        <v>77</v>
      </c>
      <c r="C93" s="4" t="s">
        <v>128</v>
      </c>
      <c r="D93" s="4">
        <v>1</v>
      </c>
      <c r="E93" s="4">
        <f t="shared" si="2"/>
        <v>0</v>
      </c>
    </row>
    <row r="94" spans="1:5" ht="16.2" customHeight="1" x14ac:dyDescent="0.3">
      <c r="A94" s="7" t="s">
        <v>94</v>
      </c>
      <c r="B94" s="4">
        <v>83</v>
      </c>
      <c r="C94" s="4" t="s">
        <v>128</v>
      </c>
      <c r="D94" s="4">
        <v>900</v>
      </c>
      <c r="E94" s="4">
        <f t="shared" si="2"/>
        <v>9.2222222222222219E-2</v>
      </c>
    </row>
    <row r="95" spans="1:5" ht="16.2" customHeight="1" x14ac:dyDescent="0.3">
      <c r="A95" s="7" t="s">
        <v>95</v>
      </c>
      <c r="B95" s="4">
        <v>60</v>
      </c>
      <c r="C95" s="4" t="s">
        <v>128</v>
      </c>
      <c r="D95" s="4">
        <v>500</v>
      </c>
      <c r="E95" s="4">
        <f t="shared" si="2"/>
        <v>0.12</v>
      </c>
    </row>
    <row r="96" spans="1:5" ht="16.2" customHeight="1" x14ac:dyDescent="0.3">
      <c r="A96" s="7" t="s">
        <v>96</v>
      </c>
      <c r="C96" s="4" t="s">
        <v>128</v>
      </c>
      <c r="D96" s="4">
        <v>1</v>
      </c>
      <c r="E96" s="4">
        <f t="shared" si="2"/>
        <v>0</v>
      </c>
    </row>
    <row r="97" spans="1:5" ht="16.2" customHeight="1" x14ac:dyDescent="0.3">
      <c r="A97" s="7" t="s">
        <v>97</v>
      </c>
      <c r="C97" s="4" t="s">
        <v>129</v>
      </c>
      <c r="D97" s="4">
        <v>1</v>
      </c>
      <c r="E97" s="4">
        <f t="shared" si="2"/>
        <v>0</v>
      </c>
    </row>
    <row r="98" spans="1:5" ht="16.2" customHeight="1" x14ac:dyDescent="0.3">
      <c r="A98" s="7" t="s">
        <v>100</v>
      </c>
      <c r="C98" s="4" t="s">
        <v>128</v>
      </c>
      <c r="D98" s="4">
        <v>500</v>
      </c>
      <c r="E98" s="4">
        <f t="shared" si="2"/>
        <v>0</v>
      </c>
    </row>
    <row r="99" spans="1:5" ht="16.2" customHeight="1" x14ac:dyDescent="0.3">
      <c r="A99" s="7" t="s">
        <v>101</v>
      </c>
      <c r="B99" s="4">
        <v>27</v>
      </c>
      <c r="C99" s="4" t="s">
        <v>128</v>
      </c>
      <c r="D99" s="4">
        <v>11</v>
      </c>
      <c r="E99" s="4">
        <f t="shared" si="2"/>
        <v>2.4545454545454546</v>
      </c>
    </row>
    <row r="100" spans="1:5" ht="16.2" customHeight="1" x14ac:dyDescent="0.3">
      <c r="A100" s="7" t="s">
        <v>102</v>
      </c>
      <c r="B100" s="4">
        <v>650</v>
      </c>
      <c r="C100" s="4" t="s">
        <v>128</v>
      </c>
      <c r="D100" s="4">
        <v>200</v>
      </c>
      <c r="E100" s="4">
        <f t="shared" si="2"/>
        <v>3.25</v>
      </c>
    </row>
    <row r="101" spans="1:5" ht="16.2" customHeight="1" x14ac:dyDescent="0.3">
      <c r="A101" s="7" t="s">
        <v>103</v>
      </c>
      <c r="B101" s="4">
        <v>490</v>
      </c>
      <c r="C101" s="4" t="s">
        <v>128</v>
      </c>
      <c r="D101" s="4">
        <v>170</v>
      </c>
      <c r="E101" s="4">
        <f t="shared" si="2"/>
        <v>2.8823529411764706</v>
      </c>
    </row>
    <row r="102" spans="1:5" ht="16.2" customHeight="1" x14ac:dyDescent="0.3">
      <c r="A102" s="3" t="s">
        <v>104</v>
      </c>
      <c r="B102" s="4">
        <v>70</v>
      </c>
      <c r="C102" s="4" t="s">
        <v>129</v>
      </c>
      <c r="D102" s="4">
        <v>4</v>
      </c>
      <c r="E102" s="4">
        <f t="shared" si="2"/>
        <v>17.5</v>
      </c>
    </row>
    <row r="103" spans="1:5" ht="16.2" customHeight="1" x14ac:dyDescent="0.3">
      <c r="A103" s="3" t="s">
        <v>105</v>
      </c>
      <c r="B103" s="4">
        <v>70</v>
      </c>
      <c r="C103" s="4" t="s">
        <v>129</v>
      </c>
      <c r="D103" s="4">
        <v>4</v>
      </c>
      <c r="E103" s="4">
        <f t="shared" si="2"/>
        <v>17.5</v>
      </c>
    </row>
    <row r="104" spans="1:5" ht="16.2" customHeight="1" x14ac:dyDescent="0.3">
      <c r="A104" s="7" t="s">
        <v>106</v>
      </c>
      <c r="C104" s="4" t="s">
        <v>128</v>
      </c>
      <c r="D104" s="4">
        <v>1</v>
      </c>
      <c r="E104" s="4">
        <f t="shared" si="2"/>
        <v>0</v>
      </c>
    </row>
    <row r="105" spans="1:5" ht="16.2" customHeight="1" x14ac:dyDescent="0.3">
      <c r="A105" s="7" t="s">
        <v>107</v>
      </c>
      <c r="B105" s="4">
        <v>136</v>
      </c>
      <c r="C105" s="4" t="s">
        <v>128</v>
      </c>
      <c r="D105" s="4">
        <v>1000</v>
      </c>
      <c r="E105" s="4">
        <f t="shared" si="2"/>
        <v>0.13600000000000001</v>
      </c>
    </row>
    <row r="106" spans="1:5" ht="16.2" customHeight="1" x14ac:dyDescent="0.3">
      <c r="A106" s="7" t="s">
        <v>108</v>
      </c>
      <c r="B106" s="4">
        <v>800</v>
      </c>
      <c r="C106" s="4" t="s">
        <v>128</v>
      </c>
      <c r="D106" s="4">
        <v>1000</v>
      </c>
      <c r="E106" s="4">
        <f t="shared" si="2"/>
        <v>0.8</v>
      </c>
    </row>
    <row r="107" spans="1:5" ht="16.2" customHeight="1" x14ac:dyDescent="0.3">
      <c r="A107" s="7" t="s">
        <v>109</v>
      </c>
      <c r="C107" s="4" t="s">
        <v>128</v>
      </c>
      <c r="D107" s="4">
        <v>1</v>
      </c>
      <c r="E107" s="4">
        <f t="shared" si="2"/>
        <v>0</v>
      </c>
    </row>
    <row r="108" spans="1:5" ht="16.2" customHeight="1" x14ac:dyDescent="0.3">
      <c r="A108" s="7" t="s">
        <v>122</v>
      </c>
      <c r="B108" s="4">
        <v>200</v>
      </c>
      <c r="C108" s="4" t="s">
        <v>129</v>
      </c>
      <c r="D108" s="4">
        <v>1</v>
      </c>
      <c r="E108" s="4">
        <f t="shared" si="2"/>
        <v>200</v>
      </c>
    </row>
    <row r="109" spans="1:5" ht="16.2" customHeight="1" x14ac:dyDescent="0.3">
      <c r="A109" s="7" t="s">
        <v>110</v>
      </c>
      <c r="B109" s="4">
        <v>430</v>
      </c>
      <c r="C109" s="4" t="s">
        <v>129</v>
      </c>
      <c r="D109" s="4">
        <v>1</v>
      </c>
      <c r="E109" s="4">
        <f t="shared" si="2"/>
        <v>430</v>
      </c>
    </row>
    <row r="110" spans="1:5" ht="16.2" customHeight="1" x14ac:dyDescent="0.3">
      <c r="A110" s="7" t="s">
        <v>111</v>
      </c>
      <c r="B110" s="4">
        <v>650</v>
      </c>
      <c r="C110" s="4" t="s">
        <v>129</v>
      </c>
      <c r="D110" s="4">
        <v>1</v>
      </c>
      <c r="E110" s="4">
        <f t="shared" si="2"/>
        <v>650</v>
      </c>
    </row>
    <row r="111" spans="1:5" ht="16.2" customHeight="1" x14ac:dyDescent="0.3">
      <c r="A111" s="7" t="s">
        <v>112</v>
      </c>
      <c r="C111" s="4" t="s">
        <v>129</v>
      </c>
      <c r="D111" s="4">
        <v>1</v>
      </c>
      <c r="E111" s="4">
        <f t="shared" si="2"/>
        <v>0</v>
      </c>
    </row>
    <row r="112" spans="1:5" ht="16.2" customHeight="1" x14ac:dyDescent="0.3">
      <c r="A112" s="7" t="s">
        <v>113</v>
      </c>
      <c r="C112" s="4" t="s">
        <v>129</v>
      </c>
      <c r="D112" s="4">
        <v>1</v>
      </c>
      <c r="E112" s="4">
        <f t="shared" si="2"/>
        <v>0</v>
      </c>
    </row>
    <row r="113" spans="1:5" ht="16.2" customHeight="1" x14ac:dyDescent="0.3">
      <c r="A113" s="7" t="s">
        <v>114</v>
      </c>
      <c r="C113" s="4" t="s">
        <v>129</v>
      </c>
      <c r="D113" s="4">
        <v>1</v>
      </c>
      <c r="E113" s="4">
        <f t="shared" si="2"/>
        <v>0</v>
      </c>
    </row>
    <row r="114" spans="1:5" ht="16.2" customHeight="1" x14ac:dyDescent="0.3">
      <c r="A114" s="7" t="s">
        <v>118</v>
      </c>
      <c r="B114" s="4">
        <v>1700</v>
      </c>
      <c r="C114" s="4" t="s">
        <v>128</v>
      </c>
      <c r="D114" s="4">
        <v>1000</v>
      </c>
      <c r="E114" s="4">
        <f t="shared" si="2"/>
        <v>1.7</v>
      </c>
    </row>
    <row r="115" spans="1:5" ht="16.2" customHeight="1" x14ac:dyDescent="0.3">
      <c r="A115" s="7" t="s">
        <v>119</v>
      </c>
      <c r="B115" s="4">
        <v>540</v>
      </c>
      <c r="C115" s="4" t="s">
        <v>129</v>
      </c>
      <c r="D115" s="4">
        <v>1</v>
      </c>
      <c r="E115" s="4">
        <f t="shared" si="2"/>
        <v>540</v>
      </c>
    </row>
    <row r="116" spans="1:5" ht="16.2" customHeight="1" x14ac:dyDescent="0.3">
      <c r="A116" s="7" t="s">
        <v>120</v>
      </c>
      <c r="B116" s="4">
        <v>860</v>
      </c>
      <c r="C116" s="4" t="s">
        <v>129</v>
      </c>
      <c r="D116" s="4">
        <v>1</v>
      </c>
      <c r="E116" s="4">
        <f t="shared" si="2"/>
        <v>860</v>
      </c>
    </row>
    <row r="117" spans="1:5" ht="16.2" customHeight="1" x14ac:dyDescent="0.3">
      <c r="A117" s="7" t="s">
        <v>121</v>
      </c>
      <c r="B117" s="4">
        <v>150</v>
      </c>
      <c r="C117" s="4" t="s">
        <v>129</v>
      </c>
      <c r="D117" s="4">
        <v>1</v>
      </c>
      <c r="E117" s="4">
        <f t="shared" si="2"/>
        <v>150</v>
      </c>
    </row>
    <row r="118" spans="1:5" ht="16.2" customHeight="1" x14ac:dyDescent="0.3">
      <c r="A118" s="7" t="s">
        <v>124</v>
      </c>
      <c r="B118" s="4">
        <v>200</v>
      </c>
      <c r="C118" s="4" t="s">
        <v>129</v>
      </c>
      <c r="D118" s="4">
        <v>1</v>
      </c>
      <c r="E118" s="4">
        <f t="shared" si="2"/>
        <v>200</v>
      </c>
    </row>
    <row r="119" spans="1:5" ht="16.2" customHeight="1" x14ac:dyDescent="0.3">
      <c r="A119" s="7" t="s">
        <v>123</v>
      </c>
      <c r="B119" s="4">
        <v>140</v>
      </c>
      <c r="C119" s="4" t="s">
        <v>129</v>
      </c>
      <c r="D119" s="4">
        <v>1</v>
      </c>
      <c r="E119" s="4">
        <f t="shared" si="2"/>
        <v>140</v>
      </c>
    </row>
    <row r="120" spans="1:5" ht="16.2" customHeight="1" x14ac:dyDescent="0.3">
      <c r="A120" s="3" t="s">
        <v>125</v>
      </c>
      <c r="B120" s="4">
        <v>290</v>
      </c>
      <c r="C120" s="4" t="s">
        <v>128</v>
      </c>
      <c r="D120" s="4">
        <v>250</v>
      </c>
      <c r="E120" s="4">
        <f t="shared" si="2"/>
        <v>1.1599999999999999</v>
      </c>
    </row>
  </sheetData>
  <autoFilter ref="A1:F120" xr:uid="{00000000-0009-0000-0000-000000000000}"/>
  <sortState xmlns:xlrd2="http://schemas.microsoft.com/office/spreadsheetml/2017/richdata2" ref="A3:A60">
    <sortCondition ref="A2:A60"/>
  </sortState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3</vt:i4>
      </vt:variant>
    </vt:vector>
  </HeadingPairs>
  <TitlesOfParts>
    <vt:vector size="4" baseType="lpstr">
      <vt:lpstr>Лист1</vt:lpstr>
      <vt:lpstr>Лист1!Ингридиент_и_составляющее</vt:lpstr>
      <vt:lpstr>Лист1!Пограммовочная_цена</vt:lpstr>
      <vt:lpstr>Список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1</cp:revision>
  <dcterms:created xsi:type="dcterms:W3CDTF">2015-06-05T18:19:34Z</dcterms:created>
  <dcterms:modified xsi:type="dcterms:W3CDTF">2026-05-06T16:01:21Z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0-bc88714345d2_Enabled">
    <vt:lpwstr>true</vt:lpwstr>
  </property>
  <property fmtid="{D5CDD505-2E9C-101B-9397-08002B2CF9AE}" pid="3" name="MSIP_Label_defa4170-0d19-0005-0000-bc88714345d2_SetDate">
    <vt:lpwstr>2025-06-03T06:42:19Z</vt:lpwstr>
  </property>
  <property fmtid="{D5CDD505-2E9C-101B-9397-08002B2CF9AE}" pid="4" name="MSIP_Label_defa4170-0d19-0005-0000-bc88714345d2_Method">
    <vt:lpwstr>Privileged</vt:lpwstr>
  </property>
  <property fmtid="{D5CDD505-2E9C-101B-9397-08002B2CF9AE}" pid="5" name="MSIP_Label_defa4170-0d19-0005-0000-bc88714345d2_Name">
    <vt:lpwstr>defa4170-0d19-0005-0000-bc88714345d2</vt:lpwstr>
  </property>
  <property fmtid="{D5CDD505-2E9C-101B-9397-08002B2CF9AE}" pid="6" name="MSIP_Label_defa4170-0d19-0005-0000-bc88714345d2_SiteId">
    <vt:lpwstr>aa46284a-8795-40b9-a40b-f85d73db7ce5</vt:lpwstr>
  </property>
  <property fmtid="{D5CDD505-2E9C-101B-9397-08002B2CF9AE}" pid="7" name="MSIP_Label_defa4170-0d19-0005-0000-bc88714345d2_ActionId">
    <vt:lpwstr>0d265f70-5214-4072-9238-f103eb17c5d4</vt:lpwstr>
  </property>
  <property fmtid="{D5CDD505-2E9C-101B-9397-08002B2CF9AE}" pid="8" name="MSIP_Label_defa4170-0d19-0005-0000-bc88714345d2_ContentBits">
    <vt:lpwstr>0</vt:lpwstr>
  </property>
  <property fmtid="{D5CDD505-2E9C-101B-9397-08002B2CF9AE}" pid="9" name="MSIP_Label_defa4170-0d19-0005-0000-bc88714345d2_Tag">
    <vt:lpwstr>10, 0, 1, 1</vt:lpwstr>
  </property>
</Properties>
</file>